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fi\Downloads\"/>
    </mc:Choice>
  </mc:AlternateContent>
  <xr:revisionPtr revIDLastSave="0" documentId="13_ncr:1_{E9E5EE0C-91A9-41CD-87B3-FBE13C7D799E}" xr6:coauthVersionLast="47" xr6:coauthVersionMax="47" xr10:uidLastSave="{00000000-0000-0000-0000-000000000000}"/>
  <bookViews>
    <workbookView xWindow="-120" yWindow="-120" windowWidth="29040" windowHeight="15840" activeTab="3" xr2:uid="{BCD2CEAB-2706-47E5-B54E-4CA032CF55FB}"/>
  </bookViews>
  <sheets>
    <sheet name="REGISTRATION" sheetId="2" r:id="rId1"/>
    <sheet name="PROJECT(S)" sheetId="4" r:id="rId2"/>
    <sheet name="PRODUCT(S)" sheetId="1" r:id="rId3"/>
    <sheet name="STAFF AUGMENTATION" sheetId="5" r:id="rId4"/>
    <sheet name="UK COMPLIANCE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2" l="1"/>
  <c r="D17" i="2"/>
</calcChain>
</file>

<file path=xl/sharedStrings.xml><?xml version="1.0" encoding="utf-8"?>
<sst xmlns="http://schemas.openxmlformats.org/spreadsheetml/2006/main" count="525" uniqueCount="444">
  <si>
    <t>TECH VENDOR REGISTRATION &amp; CAPABILITY FORM</t>
  </si>
  <si>
    <t>Company Name</t>
  </si>
  <si>
    <t>Company Size (Employees)</t>
  </si>
  <si>
    <t>Year Established</t>
  </si>
  <si>
    <t>Company Type</t>
  </si>
  <si>
    <t>(Software House / Agency / Consultancy / Outsourcing / Other)</t>
  </si>
  <si>
    <t>Preferred Communication Method</t>
  </si>
  <si>
    <t xml:space="preserve">
</t>
  </si>
  <si>
    <t>(Email / Phone / WhatsApp / Teams / Slack)</t>
  </si>
  <si>
    <t>☐ Software Development - Web</t>
  </si>
  <si>
    <t>☐ Software Development - Mobile</t>
  </si>
  <si>
    <t>☐ Software Development - SaaS</t>
  </si>
  <si>
    <t>☐ UI/UX Design</t>
  </si>
  <si>
    <t>☐ Cloud Services - AWS</t>
  </si>
  <si>
    <t>☐ Cloud Services - Azure</t>
  </si>
  <si>
    <t>☐ Cloud Services - GCP</t>
  </si>
  <si>
    <t>☐ DevOps</t>
  </si>
  <si>
    <t>☐ AI &amp; Machine Learning</t>
  </si>
  <si>
    <t>☐ Cybersecurity</t>
  </si>
  <si>
    <t>☐ QA &amp; Testing</t>
  </si>
  <si>
    <t>☐ ERP/CRM Development</t>
  </si>
  <si>
    <t>☐ API Integrations</t>
  </si>
  <si>
    <t xml:space="preserve">Other Services: </t>
  </si>
  <si>
    <t>Primary Tech Stack</t>
  </si>
  <si>
    <t>Secondary Tech Stack</t>
  </si>
  <si>
    <t>Specialised Skills</t>
  </si>
  <si>
    <t>(AI, Blockchain, IoT, AR/VR, etc.)</t>
  </si>
  <si>
    <t>Key Projects Delivered</t>
  </si>
  <si>
    <t>Industries Served</t>
  </si>
  <si>
    <t>Case Studies / Portfolio Links</t>
  </si>
  <si>
    <t>Total Technical Staff</t>
  </si>
  <si>
    <t>Team Structure</t>
  </si>
  <si>
    <t>(Developers, QA, PMs, Designers, DevOps, etc.)</t>
  </si>
  <si>
    <t>Monthly Delivery Capacity</t>
  </si>
  <si>
    <t>List down your own solutions (SaaS) if you have any?</t>
  </si>
  <si>
    <t>List down client &amp; Any Additional Notes</t>
  </si>
  <si>
    <t>Time Zone &amp; Working Hours</t>
  </si>
  <si>
    <t>(Jira, Asana, GitHub, Slack, etc.)</t>
  </si>
  <si>
    <t>Tools Used</t>
  </si>
  <si>
    <t>(Agile / Scrum / Kanban / Hybrid)</t>
  </si>
  <si>
    <t>Preferred Project Management Methodology</t>
  </si>
  <si>
    <t>Minimum Project Size</t>
  </si>
  <si>
    <t>☐ Yes ☐ No</t>
  </si>
  <si>
    <t>Retainer Model</t>
  </si>
  <si>
    <t>Fixed Price Projects</t>
  </si>
  <si>
    <t>Hourly Rate Range</t>
  </si>
  <si>
    <t>Registered Business Address</t>
  </si>
  <si>
    <t>Website URL</t>
  </si>
  <si>
    <t>Job Title</t>
  </si>
  <si>
    <t>Email Address</t>
  </si>
  <si>
    <t>Phone Number</t>
  </si>
  <si>
    <t>Artificial Intelligence &amp; Machine Learning</t>
  </si>
  <si>
    <t>Software Development &amp; SaaS</t>
  </si>
  <si>
    <t>Cybersecurity</t>
  </si>
  <si>
    <t>Cloud Computing &amp; Infrastructure</t>
  </si>
  <si>
    <t>FinTech &amp; Digital Banking</t>
  </si>
  <si>
    <t>HealthTech &amp; BioTech</t>
  </si>
  <si>
    <t>EdTech &amp; E-Learning</t>
  </si>
  <si>
    <t>E-Commerce &amp; Retail Tech</t>
  </si>
  <si>
    <t>Clean Technology &amp; GreenTech</t>
  </si>
  <si>
    <t>Telecommunications</t>
  </si>
  <si>
    <t>Data Analytics &amp; Big Data</t>
  </si>
  <si>
    <t>IoT &amp; Smart Systems</t>
  </si>
  <si>
    <t>Blockchain &amp; Web3</t>
  </si>
  <si>
    <t>Consulting &amp; Professional Services</t>
  </si>
  <si>
    <t>Manufacturing &amp; Industrial Tech</t>
  </si>
  <si>
    <t>Logistics &amp; Supply Chain Tech</t>
  </si>
  <si>
    <t>Legal &amp; Regulatory Tech</t>
  </si>
  <si>
    <t>Real Estate &amp; PropTech</t>
  </si>
  <si>
    <t>Media &amp; Creative Technology</t>
  </si>
  <si>
    <t>Government &amp; Public Sector</t>
  </si>
  <si>
    <t>Non-Profit &amp; Social Enterprise</t>
  </si>
  <si>
    <t>Academic &amp; Research</t>
  </si>
  <si>
    <t>INDUSTRY FOCUS</t>
  </si>
  <si>
    <t>Project Reference ID</t>
  </si>
  <si>
    <t>Project Title</t>
  </si>
  <si>
    <t>Public-facing, descriptive name of the project.</t>
  </si>
  <si>
    <t>Client Industry Vertical</t>
  </si>
  <si>
    <t>Client Geography</t>
  </si>
  <si>
    <t>UK, Europe, USA, Middle East, Domestic, etc.</t>
  </si>
  <si>
    <t>Project Type</t>
  </si>
  <si>
    <t>Core Business Problem</t>
  </si>
  <si>
    <t>Solution Delivered</t>
  </si>
  <si>
    <t>Frontend / Mobile Tech</t>
  </si>
  <si>
    <t>UI technologies used (e.g., React, Flutter, Swift, Angular).</t>
  </si>
  <si>
    <t>Cloud &amp; Infrastructure</t>
  </si>
  <si>
    <t>AWS, Azure, GCP, On-Premise, Hybrid.</t>
  </si>
  <si>
    <t>Compliance &amp; Standards</t>
  </si>
  <si>
    <t>Certifications met (e.g., GDPR, HIPAA, PCI-DSS, ISO27001).</t>
  </si>
  <si>
    <t>Team Size &amp; Composition</t>
  </si>
  <si>
    <t>Project Duration (Months)</t>
  </si>
  <si>
    <t>Total timeline from kickoff to deployment.</t>
  </si>
  <si>
    <t>Quantifiable ROI / Impact</t>
  </si>
  <si>
    <t>Client Testimonial</t>
  </si>
  <si>
    <t>Direct quote from the client sponsor (if available).</t>
  </si>
  <si>
    <t>Clutch / Review Link</t>
  </si>
  <si>
    <t>Anonymisation Status</t>
  </si>
  <si>
    <t>Case Study Artifact</t>
  </si>
  <si>
    <t>Fintech &amp; Banking</t>
  </si>
  <si>
    <t>Healthcare &amp; Medtech</t>
  </si>
  <si>
    <t>E-commerce &amp; Retail</t>
  </si>
  <si>
    <t>Logistics &amp; Supply Chain</t>
  </si>
  <si>
    <t>Edtech</t>
  </si>
  <si>
    <t>Telecoms</t>
  </si>
  <si>
    <t>Real Estate &amp; Proptech</t>
  </si>
  <si>
    <t>Legaltech</t>
  </si>
  <si>
    <t>Product ID</t>
  </si>
  <si>
    <t>Product Name</t>
  </si>
  <si>
    <t>The commercial name of the SaaS/Software solution.</t>
  </si>
  <si>
    <t>Target Industry</t>
  </si>
  <si>
    <t>Fintech, HR-Tech, Retail, Cybersecurity, Health-tech, etc.</t>
  </si>
  <si>
    <t>Target User Persona</t>
  </si>
  <si>
    <t>Primary Use Case</t>
  </si>
  <si>
    <t>Core Features</t>
  </si>
  <si>
    <t>Bullet points of the top 3–5 features/modules.</t>
  </si>
  <si>
    <t>Tech Stack</t>
  </si>
  <si>
    <t>Built-with tech (e.g., Python/Django, PostgreSQL, React).</t>
  </si>
  <si>
    <t>Deployment Models</t>
  </si>
  <si>
    <t>Multi-tenant SaaS, Private Cloud, On-Premise, Hybrid.</t>
  </si>
  <si>
    <t>Integration APIs</t>
  </si>
  <si>
    <t>Available APIs or ready integrations (e.g., Salesforce, Stripe, SAP).</t>
  </si>
  <si>
    <t>Data Hosting Region</t>
  </si>
  <si>
    <t>Critical for UK/EU laws (UK, EU, US, Global, Local Option).</t>
  </si>
  <si>
    <t>Security &amp; Compliance</t>
  </si>
  <si>
    <t>Pricing Model</t>
  </si>
  <si>
    <t>Per User/Month, Tiered Flat-Rate, Usage-Based, Enterprise License.</t>
  </si>
  <si>
    <t>Implementation Time</t>
  </si>
  <si>
    <t>Support &amp; SLA</t>
  </si>
  <si>
    <t>24/7 Phone, 9–5 Email Only, Dedicated Account Manager, Tiered SLAs.</t>
  </si>
  <si>
    <t>Current User Count</t>
  </si>
  <si>
    <t>Demo Video Link</t>
  </si>
  <si>
    <t>Link to a 2-minute product walkthrough or explainer video.</t>
  </si>
  <si>
    <t>Sandbox/Trial Access</t>
  </si>
  <si>
    <t>White-Labelling Available</t>
  </si>
  <si>
    <t>Per User / Per Seat (Monthly/Annual)</t>
  </si>
  <si>
    <t>Tiered Subscriptions (Basic/Pro/Enterprise)</t>
  </si>
  <si>
    <t>Usage-Based / Volume-Based (e.g., per API call or per GB)</t>
  </si>
  <si>
    <t>One-Time Enterprise License + Annual Maintenance</t>
  </si>
  <si>
    <t>Instant (Self-service setup)</t>
  </si>
  <si>
    <t>Under 2 Weeks (Minor configuration)</t>
  </si>
  <si>
    <t>1 to 3 Months (Requires system integration)</t>
  </si>
  <si>
    <t>3+ Months (Heavy customization required)</t>
  </si>
  <si>
    <t>SN</t>
  </si>
  <si>
    <t xml:space="preserve">TYPE </t>
  </si>
  <si>
    <t>Promotional material</t>
  </si>
  <si>
    <t xml:space="preserve">Brochure  - Flyer </t>
  </si>
  <si>
    <t>Any formal power point presentation</t>
  </si>
  <si>
    <t>Any links on social media marketing</t>
  </si>
  <si>
    <t>Type of companies User</t>
  </si>
  <si>
    <t>Price range of packages</t>
  </si>
  <si>
    <t xml:space="preserve">Type and level of access </t>
  </si>
  <si>
    <t>Required  to implement this solution through client system</t>
  </si>
  <si>
    <t xml:space="preserve">System changes </t>
  </si>
  <si>
    <t>Any changes to the existing system to interface client user /customers</t>
  </si>
  <si>
    <t>Updating of system</t>
  </si>
  <si>
    <t>Licencing/usage period</t>
  </si>
  <si>
    <t xml:space="preserve">Periodic or annually </t>
  </si>
  <si>
    <t>Specific period i.e.1-5 year  with renewable or unlimited period</t>
  </si>
  <si>
    <t>Warranty /backups</t>
  </si>
  <si>
    <t>Type of service available in case customer's system crash</t>
  </si>
  <si>
    <t>Min price and/or max price based on any user or installation</t>
  </si>
  <si>
    <t xml:space="preserve">Reference list of </t>
  </si>
  <si>
    <t>Current Customers/user  (any permission requied to ask review)</t>
  </si>
  <si>
    <t xml:space="preserve">Unique product identifier </t>
  </si>
  <si>
    <t>DESCRIPTION</t>
  </si>
  <si>
    <t xml:space="preserve">PRODUCTS / SAAS SOLUTION </t>
  </si>
  <si>
    <t>PRODUCT # 01</t>
  </si>
  <si>
    <t>PRODUCT # 02</t>
  </si>
  <si>
    <t>PRODUCT # 03</t>
  </si>
  <si>
    <t>PRODUCT # 04</t>
  </si>
  <si>
    <t xml:space="preserve">UK enterprise clients (especially in banking, legal, and public sectors) often require data to be hosted inside the UK or EU due to strict data privacy regulations. </t>
  </si>
  <si>
    <t>Any Others</t>
  </si>
  <si>
    <t>Add any other information to highlight feature of Product for marketing</t>
  </si>
  <si>
    <t>Certifications (e.g., GDPR, SOC2 Type II, ISO27001, Cyber Essentials)</t>
  </si>
  <si>
    <t>Average time to go live (Instant, &lt;2 weeks, 1–3 months, 3+ months)</t>
  </si>
  <si>
    <t>Who uses it? (e.g., CFOs, HR Managers, DevOps Engineers)</t>
  </si>
  <si>
    <t>The number one problem this software solves (max 50 words)</t>
  </si>
  <si>
    <t>Traction proof (e.g., "50+ Enterprise Clients", "10k+ Daily Users")</t>
  </si>
  <si>
    <t>Is a free trial or staging environment available for testing? (Yes/No)</t>
  </si>
  <si>
    <t>Can UK partners rebrand and resell this? (Yes/No)</t>
  </si>
  <si>
    <t>SMEs, MED or corporate</t>
  </si>
  <si>
    <t>Provider ID</t>
  </si>
  <si>
    <t>Main Tech Domains</t>
  </si>
  <si>
    <t>Total Bench Size</t>
  </si>
  <si>
    <t>Number of developers currently available for immediate deployment.</t>
  </si>
  <si>
    <t>Available Roles</t>
  </si>
  <si>
    <t>Seniority Split</t>
  </si>
  <si>
    <t>Average Hourly Rate (GBP)</t>
  </si>
  <si>
    <t>Minimum Engagement Period</t>
  </si>
  <si>
    <t>No Minimum, 1 Month, 3 Months, 6 Months+.</t>
  </si>
  <si>
    <t>Timezone Overlap</t>
  </si>
  <si>
    <t>English Proficiency</t>
  </si>
  <si>
    <t>Professional Working, Full Professional, Native/Bilingual.</t>
  </si>
  <si>
    <t>Vetting &amp; Screening Process</t>
  </si>
  <si>
    <t>Laptop &amp; Hardware Provision</t>
  </si>
  <si>
    <t>Security/MDM Compliance</t>
  </si>
  <si>
    <t>Replacement Guarantee (Days)</t>
  </si>
  <si>
    <t>Notice Period</t>
  </si>
  <si>
    <t>Overtime &amp; On-Call Policy</t>
  </si>
  <si>
    <t>Top Enterprise Clients</t>
  </si>
  <si>
    <t>Sample Resume Links</t>
  </si>
  <si>
    <t>Main Contact Email</t>
  </si>
  <si>
    <t xml:space="preserve">Unique identifier for the member agency </t>
  </si>
  <si>
    <t>Add any other information to highlight hiring of staff for marketing</t>
  </si>
  <si>
    <t>Broad areas of expertise (e.g., DevOps, Fullstack, Mobile, AI/ML)</t>
  </si>
  <si>
    <t>Specific titles available (e.g., React Dev, Python Engineer, QA Automation)</t>
  </si>
  <si>
    <t>Breakdown of available talent (e.g., 20% Senior, 50% Mid, 30% Junior)</t>
  </si>
  <si>
    <t>Blended or average rate per hour in British Pounds (£) or US Dollar $</t>
  </si>
  <si>
    <t>Full UK Hours (9-5 BST), Partial (4 Hours Overlap), Custom/Flexible</t>
  </si>
  <si>
    <t>Brief summary of how you vet talent (e.g., LeetCode, live coding, IQ tests)</t>
  </si>
  <si>
    <t>Company Provided (Premium), Client Must Provide, Bring Your Own Device</t>
  </si>
  <si>
    <t>Device management used (e.g., BitLocker, Kandji, SOC2 Compliant, None)</t>
  </si>
  <si>
    <t>Number of days to replace a resource for free if the client is unhappy</t>
  </si>
  <si>
    <t>Immediate, 2 Weeks, 30 Days, 60 Days</t>
  </si>
  <si>
    <t>Are engineers available for UK out-of-hours support? (Yes/No + terms)</t>
  </si>
  <si>
    <t>Names of well-known companies that have used your staff aug services</t>
  </si>
  <si>
    <t>Link to a folder with anonymised/blind CVs for review</t>
  </si>
  <si>
    <t>Direct email for the account manager handling staff aug requests</t>
  </si>
  <si>
    <t>IMMEDIATELY</t>
  </si>
  <si>
    <t>AFTER 3 MONTHS</t>
  </si>
  <si>
    <t>IN FUTURE</t>
  </si>
  <si>
    <t>AFTER 6 MONTHS</t>
  </si>
  <si>
    <t xml:space="preserve">Payment Terms </t>
  </si>
  <si>
    <t>Monthly Invoices i.e. Payable: immediately - 30 days - 45 days</t>
  </si>
  <si>
    <t>STAFF AUGMENTATION - AVAILABILITY</t>
  </si>
  <si>
    <t>Many UK agencies and tech companies look for software they can white-label. Knowing which products can be rebranded opens up major channel-partner and reseller opportunities for your Product(s).</t>
  </si>
  <si>
    <t xml:space="preserve">PROJETS DETAIL </t>
  </si>
  <si>
    <t>PROJECT # 01</t>
  </si>
  <si>
    <t>PROJECT # 02</t>
  </si>
  <si>
    <t>PROJECT # 03</t>
  </si>
  <si>
    <t xml:space="preserve">Project Value </t>
  </si>
  <si>
    <t>One single Payment or Multiple Payments</t>
  </si>
  <si>
    <t>Unique identifier .</t>
  </si>
  <si>
    <t>Others</t>
  </si>
  <si>
    <t xml:space="preserve">Pls specify </t>
  </si>
  <si>
    <t>Add any other information to highlight feature for marketing</t>
  </si>
  <si>
    <t>Number of personnel and roles (e.g., 2 Devs, 1 QA, 1 PM)</t>
  </si>
  <si>
    <t>Crucial: Measurable success metrics (e.g., "Boosted speed by 40%")</t>
  </si>
  <si>
    <t>Direct quote from the client sponsor (if available)</t>
  </si>
  <si>
    <t>Link to verified third-party reviews, if published</t>
  </si>
  <si>
    <t>Fully Shareable or  Anonymised Only (NDA restricted/Confidentia)</t>
  </si>
  <si>
    <t>Link to presentation slides or detailed PDF deck</t>
  </si>
  <si>
    <t>Backend languages, frameworks (e.g., Python, Node.js, .NET)</t>
  </si>
  <si>
    <t>Summary of what your company built or provided</t>
  </si>
  <si>
    <t>Brief summary of the client's challenge (max 150 words)</t>
  </si>
  <si>
    <t>Staff Augmentation, Fixed-Price, Dedicated ODC, Joint Venture</t>
  </si>
  <si>
    <t>ADDITIONAL INFO</t>
  </si>
  <si>
    <t>REMARKS (IF ANY)</t>
  </si>
  <si>
    <t>SECTION 1</t>
  </si>
  <si>
    <t>SECTION 2</t>
  </si>
  <si>
    <t>COMPANY INFORMATION</t>
  </si>
  <si>
    <t>SECTION 3</t>
  </si>
  <si>
    <t>PRIMARY CONTACT DETAILS (PRESIDENT, CTO, COO)</t>
  </si>
  <si>
    <t>Full Name (President</t>
  </si>
  <si>
    <t xml:space="preserve">Full Name </t>
  </si>
  <si>
    <t>OPERATIONAL  CONTACT DETAILS (MANAGER)</t>
  </si>
  <si>
    <t>SECTION 4</t>
  </si>
  <si>
    <t>Any others</t>
  </si>
  <si>
    <t>SECTION 5</t>
  </si>
  <si>
    <t xml:space="preserve"> SERVICES OFFERED (Tick all that apply)</t>
  </si>
  <si>
    <t>SECTION 6</t>
  </si>
  <si>
    <t>TECHNICAL EXPERTISE</t>
  </si>
  <si>
    <t>SECTION 7</t>
  </si>
  <si>
    <t>SECTION 8</t>
  </si>
  <si>
    <t>PORTFOLIO &amp; EXPERIENCE</t>
  </si>
  <si>
    <t>TEAM &amp; CAPACITY</t>
  </si>
  <si>
    <t>PRICING &amp; ENGAGEMENT MODEL</t>
  </si>
  <si>
    <t>45 days</t>
  </si>
  <si>
    <t xml:space="preserve">30 days </t>
  </si>
  <si>
    <t>PAYMENT TERMS  (MONTHLY INVOICE) -PAYABLE</t>
  </si>
  <si>
    <t xml:space="preserve">immediately </t>
  </si>
  <si>
    <t>ALL PAYMENTS WILL BECOME DUE AS PER AGREED MILESTONE &amp; ACCEPTANCE OF WORK BY CLIENT</t>
  </si>
  <si>
    <t>SECTION 9</t>
  </si>
  <si>
    <t>SECTION 10</t>
  </si>
  <si>
    <t>COMPLIANCE &amp; CERTIFICATIONS</t>
  </si>
  <si>
    <t>SECTION 11</t>
  </si>
  <si>
    <t>OPERATIONAL DETAILS</t>
  </si>
  <si>
    <t>SECTION 12</t>
  </si>
  <si>
    <t>ADDITIONAL INFORMATION</t>
  </si>
  <si>
    <t>Hours or team availability</t>
  </si>
  <si>
    <t>Security Certifications (ISO, SOC2, etc.)</t>
  </si>
  <si>
    <t>Data Protection Compliance (GDPR, HIPAA, etc.)</t>
  </si>
  <si>
    <t>Insurance Coverage (Professional Liability, Cyber Insurance)</t>
  </si>
  <si>
    <t>SECTION 13</t>
  </si>
  <si>
    <t>SEND ALL INFO:   info@ukpaktech.org.uk</t>
  </si>
  <si>
    <t>Whatsapp: 0044 7920 550000</t>
  </si>
  <si>
    <t>https://ukpaktech.org.uk/membership#apply</t>
  </si>
  <si>
    <t>SECTION 14</t>
  </si>
  <si>
    <t>UK-PAKISTAN TECH FORUM, LONDON - CONTACT DETAILS</t>
  </si>
  <si>
    <t>London, United Kingdom</t>
  </si>
  <si>
    <t>https://ukpaktech.org.uk/</t>
  </si>
  <si>
    <t xml:space="preserve">Website </t>
  </si>
  <si>
    <t>Email</t>
  </si>
  <si>
    <t>Membership Registraion</t>
  </si>
  <si>
    <t>WhatsApp</t>
  </si>
  <si>
    <t>Location</t>
  </si>
  <si>
    <t>0044 7920 550000</t>
  </si>
  <si>
    <t>info@ukpaktech.org.uk</t>
  </si>
  <si>
    <t>Target Sectors</t>
  </si>
  <si>
    <t>Why it Wins Business</t>
  </si>
  <si>
    <t>Cyber Essentials / Plus</t>
  </si>
  <si>
    <t>UK Public Sector, Gov, Enterprise</t>
  </si>
  <si>
    <t>A UK government-backed scheme certifying basic cybersecurity protection against common threats.</t>
  </si>
  <si>
    <t>Ensures personal data of UK citizens is processed safely. Requires data mapping and processing agreements.</t>
  </si>
  <si>
    <t>Non-negotiable. UK buyers cannot legally pass client data to non-compliant vendors.</t>
  </si>
  <si>
    <t>ISO/IEC 27001</t>
  </si>
  <si>
    <t>Enterprise, Banking, Legaltech</t>
  </si>
  <si>
    <t>International standard for managing information security risks.</t>
  </si>
  <si>
    <t>Proves your tech company has enterprise-grade security operations.</t>
  </si>
  <si>
    <t>NHS DTAC (Digital Technology Assessment Criteria)</t>
  </si>
  <si>
    <t>Healthcare, Healthtech, Medtech</t>
  </si>
  <si>
    <t>The mandatory benchmark used by the UK National Health Service (NHS) to assess clinical safety and data security.</t>
  </si>
  <si>
    <t>Fintech, Banking, E-commerce</t>
  </si>
  <si>
    <t>Mandatory security standard for organizations that handle branded credit cards.</t>
  </si>
  <si>
    <t>Required if a project processes, stores, or transmits credit card data for UK consumers.</t>
  </si>
  <si>
    <t>SOC 2 Type II</t>
  </si>
  <si>
    <t>US-UK Cross-border Enterprise, SaaS</t>
  </si>
  <si>
    <t>Independent audit report proving security, availability, and processing integrity over time.</t>
  </si>
  <si>
    <t>Highly valued by UK scale-ups and SaaS companies looking for outsourcing partners.</t>
  </si>
  <si>
    <t>Mandatory for any UK government or public sector contract.</t>
  </si>
  <si>
    <t>All Sectors (Crucial for SaaS &amp; Fintech)</t>
  </si>
  <si>
    <t>You cannot sell software or services into the UK healthcare system without meeting DTAC.</t>
  </si>
  <si>
    <t xml:space="preserve">What It Means </t>
  </si>
  <si>
    <t xml:space="preserve">UK COMPLIANCE GUIDANCE </t>
  </si>
  <si>
    <t>PCI-DSS (Payment Card Industry    Data Security Standard)</t>
  </si>
  <si>
    <t>UK GDPR &amp; Data Protection    Act 2018</t>
  </si>
  <si>
    <t>UK Framework/Standard</t>
  </si>
  <si>
    <t>ConfiaTech Pvt Ltd</t>
  </si>
  <si>
    <t>Office # 14 Second Floor VIP Plaza I-8 Markaz, Islambad</t>
  </si>
  <si>
    <t>https://confiatech.com</t>
  </si>
  <si>
    <t>11 to 50</t>
  </si>
  <si>
    <t>Software Agency</t>
  </si>
  <si>
    <t>Muhammad Mubashar ilyas</t>
  </si>
  <si>
    <t>CEO</t>
  </si>
  <si>
    <t>mubasharock8@gmail.com</t>
  </si>
  <si>
    <t>Muhammad Adnan Ameer</t>
  </si>
  <si>
    <t xml:space="preserve">Director </t>
  </si>
  <si>
    <t>adnanameer719@gmail.com</t>
  </si>
  <si>
    <t>Yes</t>
  </si>
  <si>
    <t>Social Media Ads and Marketing</t>
  </si>
  <si>
    <t>Web and Mobile Development</t>
  </si>
  <si>
    <t>10+</t>
  </si>
  <si>
    <t xml:space="preserve">Python , Django , Angular, React , Node js </t>
  </si>
  <si>
    <t>Swift UI , Asp.net , C# , Flutter</t>
  </si>
  <si>
    <t>Law Firm , MarTech</t>
  </si>
  <si>
    <t>https://confiatech.com/en/portfolio/</t>
  </si>
  <si>
    <t>2 PMs , 2 QA , 2 Designer , 6 Developer , 1 Devops</t>
  </si>
  <si>
    <t>1500 to 1600 Hours</t>
  </si>
  <si>
    <t>5 to 15$</t>
  </si>
  <si>
    <t>2000 $</t>
  </si>
  <si>
    <t>Immediately</t>
  </si>
  <si>
    <t>No</t>
  </si>
  <si>
    <t>Scrum and Agile</t>
  </si>
  <si>
    <t>Trello , Slack , Github</t>
  </si>
  <si>
    <t>Flexible according to the client</t>
  </si>
  <si>
    <t>https://chatbatt.com/</t>
  </si>
  <si>
    <t xml:space="preserve">Currently have 5 clients </t>
  </si>
  <si>
    <t>2 From Australia , 1 from UK ,1 formFrance and 1 USA</t>
  </si>
  <si>
    <t>PJ-15</t>
  </si>
  <si>
    <t>PJ-25</t>
  </si>
  <si>
    <t>Loom Centric</t>
  </si>
  <si>
    <t>Axis IMS</t>
  </si>
  <si>
    <t>LawFirm</t>
  </si>
  <si>
    <t>UK</t>
  </si>
  <si>
    <t>Staff Augmentation</t>
  </si>
  <si>
    <t>Clients Need a Custom Software for it own Law Firm. To Manage all his Data</t>
  </si>
  <si>
    <t>We Built a tailored Solution as per there need.</t>
  </si>
  <si>
    <t>Python Django</t>
  </si>
  <si>
    <t>AWS</t>
  </si>
  <si>
    <t>Angular</t>
  </si>
  <si>
    <t>HIPAA</t>
  </si>
  <si>
    <t>2 Devs 1 QA 1 PM</t>
  </si>
  <si>
    <t>Monthly Payment</t>
  </si>
  <si>
    <t>Make there operation easy by 50%</t>
  </si>
  <si>
    <t>NDA restricted</t>
  </si>
  <si>
    <t>https://confiatech.com/en/portfolio/axis/</t>
  </si>
  <si>
    <t>Automated Visa processing workflows, Enchanced Staff productivity ,Centralized Data</t>
  </si>
  <si>
    <t>MarTech</t>
  </si>
  <si>
    <t>Fixed-Price</t>
  </si>
  <si>
    <t>4.5 Months</t>
  </si>
  <si>
    <t>Businesses and creators needed efficient way to manage multiple social media accounts and maintain consistent online presence.</t>
  </si>
  <si>
    <t>Built scalable platform with Angular and Django, delivering secure and user-friendly experience for scheduling and automating posts.</t>
  </si>
  <si>
    <t>React</t>
  </si>
  <si>
    <t>ISO27001 , HIPAA</t>
  </si>
  <si>
    <t>6  Months</t>
  </si>
  <si>
    <t>Multiple Payments</t>
  </si>
  <si>
    <t xml:space="preserve">Boosted Post Scheduiling save time more than 80% </t>
  </si>
  <si>
    <t>Fully Shareable</t>
  </si>
  <si>
    <t>https://confiatech.com/en/portfolio/loomcentric/</t>
  </si>
  <si>
    <t>Multi-platform post scheduling</t>
  </si>
  <si>
    <t>PJ-31</t>
  </si>
  <si>
    <t>XploraLuxe</t>
  </si>
  <si>
    <t>Tourism</t>
  </si>
  <si>
    <t>UAE</t>
  </si>
  <si>
    <t>High-net-worth travelers wanted personalized luxury experiences, not generic bookings.</t>
  </si>
  <si>
    <t>Created white-glove booking platform with AI-powered recommendations and 24/7 concierge.</t>
  </si>
  <si>
    <t>Node Js</t>
  </si>
  <si>
    <t>3 Devs 1 QA 1 PM</t>
  </si>
  <si>
    <t>3 Months</t>
  </si>
  <si>
    <t>$10M+ bookings in year one</t>
  </si>
  <si>
    <t>https://confiatech.com/en/portfolio/xploraluxe/</t>
  </si>
  <si>
    <t>Booking Platform with AI Powered Recommendations</t>
  </si>
  <si>
    <t>PD-01</t>
  </si>
  <si>
    <t>Chatbatt</t>
  </si>
  <si>
    <t>SMEs</t>
  </si>
  <si>
    <t>Instant</t>
  </si>
  <si>
    <t>Small Bussiness Owners</t>
  </si>
  <si>
    <t>ChatBatt solves the problem of limited, impersonal, and always-unavailable digital communication by providing instant AI-powered conversations. Users can access intelligent assistants anytime for information, learning, productivity, creative support, and engaging interactions without waiting for human responses.</t>
  </si>
  <si>
    <t>AI Chat: Engage in natural, real-time conversations with AI assistants through text and voice.
AI Characters: Discover and interact with a variety of AI personalities tailored to different interests and use cases.
Multimedia Messaging: Exchange text, images, and voice messages for richer, more interactive conversations.
Conversation History: Save and revisit previous chats to maintain context and continuity.
Personalized Experience: Customize AI interactions based on user preferences, conversation style, and interests.</t>
  </si>
  <si>
    <t>Python Django , React , Astro , PostgresSQL</t>
  </si>
  <si>
    <t>SAAS</t>
  </si>
  <si>
    <t>META API's</t>
  </si>
  <si>
    <t>Malaysia</t>
  </si>
  <si>
    <t>Not Available yet</t>
  </si>
  <si>
    <t>Web Application , Anyone have the access</t>
  </si>
  <si>
    <t>Automatically</t>
  </si>
  <si>
    <t>When ever new updates come in mostly bi Annually</t>
  </si>
  <si>
    <t>Monthly Charges from the user</t>
  </si>
  <si>
    <t>Provide Full support</t>
  </si>
  <si>
    <t>$29 to $199</t>
  </si>
  <si>
    <t>Per User/Month</t>
  </si>
  <si>
    <t>24/7 on email</t>
  </si>
  <si>
    <t>Right in the final stages</t>
  </si>
  <si>
    <t>all things are on the site</t>
  </si>
  <si>
    <t>ChatBatt is an AI-powered conversation platform that delivers instant, personalized, and intelligent chat experiences anytime, anywhere.</t>
  </si>
  <si>
    <t>CT-01</t>
  </si>
  <si>
    <t>Devops, Backend , FrontEnd , IOS , Flutter , UI/UX , QA</t>
  </si>
  <si>
    <t>2 Django Developer,2 React/ Angular Developer, 1 IOS Developer , 1 Flutter Developer , 1 PM , 2 QA , 1 Wordpress</t>
  </si>
  <si>
    <t>7 senior , 2 Junior</t>
  </si>
  <si>
    <t>Junior 5$ / Hour , Senior 15$ / Hour</t>
  </si>
  <si>
    <t>No minimum</t>
  </si>
  <si>
    <t>Custom/Flexible</t>
  </si>
  <si>
    <t>Professional Working</t>
  </si>
  <si>
    <t>Live Coding , IQ Tests, Problem Solving</t>
  </si>
  <si>
    <t>Company Provided or Bring your own device</t>
  </si>
  <si>
    <t>None</t>
  </si>
  <si>
    <t>1 week</t>
  </si>
  <si>
    <t>30 Days</t>
  </si>
  <si>
    <t>Yes + terms</t>
  </si>
  <si>
    <t>Loom Factor</t>
  </si>
  <si>
    <t>Not available Yet</t>
  </si>
  <si>
    <t>hr@confiatech.com</t>
  </si>
  <si>
    <t>Monthly Invoices , Pay Immediately</t>
  </si>
  <si>
    <t>One Month Advance Should be taken and 30 Days Notice Period should be given by both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</si>
</sst>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i/>
      <sz val="12"/>
      <color theme="3" tint="0.249977111117893"/>
      <name val="Arial"/>
      <family val="2"/>
    </font>
    <font>
      <b/>
      <i/>
      <sz val="12"/>
      <color rgb="FF0070C0"/>
      <name val="Arial"/>
      <family val="2"/>
    </font>
    <font>
      <b/>
      <i/>
      <sz val="2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20"/>
      <color theme="1"/>
      <name val="Arial"/>
      <family val="2"/>
    </font>
    <font>
      <b/>
      <i/>
      <sz val="16"/>
      <color theme="1"/>
      <name val="Arial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1">
    <xf numFmtId="0" fontId="0" fillId="0" borderId="0" xfId="0"/>
    <xf numFmtId="0" fontId="6" fillId="2" borderId="2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0" fillId="0" borderId="20" xfId="0" applyBorder="1"/>
    <xf numFmtId="0" fontId="0" fillId="0" borderId="1" xfId="0" applyBorder="1"/>
    <xf numFmtId="0" fontId="2" fillId="0" borderId="22" xfId="0" applyFont="1" applyBorder="1" applyAlignment="1">
      <alignment horizontal="center"/>
    </xf>
    <xf numFmtId="0" fontId="7" fillId="0" borderId="11" xfId="0" applyFont="1" applyBorder="1" applyAlignment="1">
      <alignment wrapText="1"/>
    </xf>
    <xf numFmtId="0" fontId="4" fillId="0" borderId="7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1" xfId="0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10" xfId="0" applyFont="1" applyBorder="1"/>
    <xf numFmtId="0" fontId="9" fillId="3" borderId="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9" fillId="0" borderId="29" xfId="0" applyFont="1" applyBorder="1"/>
    <xf numFmtId="0" fontId="9" fillId="0" borderId="11" xfId="0" applyFont="1" applyBorder="1"/>
    <xf numFmtId="0" fontId="4" fillId="0" borderId="2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0" xfId="0" applyFont="1"/>
    <xf numFmtId="0" fontId="12" fillId="2" borderId="25" xfId="0" applyFont="1" applyFill="1" applyBorder="1" applyAlignment="1">
      <alignment vertical="center"/>
    </xf>
    <xf numFmtId="0" fontId="12" fillId="11" borderId="7" xfId="0" applyFont="1" applyFill="1" applyBorder="1" applyAlignment="1">
      <alignment vertical="center"/>
    </xf>
    <xf numFmtId="0" fontId="0" fillId="0" borderId="8" xfId="0" applyBorder="1"/>
    <xf numFmtId="0" fontId="8" fillId="3" borderId="25" xfId="0" applyFont="1" applyFill="1" applyBorder="1"/>
    <xf numFmtId="0" fontId="2" fillId="6" borderId="1" xfId="0" applyFont="1" applyFill="1" applyBorder="1"/>
    <xf numFmtId="0" fontId="8" fillId="5" borderId="1" xfId="0" applyFont="1" applyFill="1" applyBorder="1"/>
    <xf numFmtId="0" fontId="2" fillId="0" borderId="31" xfId="0" applyFont="1" applyBorder="1"/>
    <xf numFmtId="0" fontId="8" fillId="3" borderId="1" xfId="0" applyFont="1" applyFill="1" applyBorder="1"/>
    <xf numFmtId="0" fontId="11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5" fillId="5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11" borderId="31" xfId="0" applyFont="1" applyFill="1" applyBorder="1" applyAlignment="1">
      <alignment vertical="center"/>
    </xf>
    <xf numFmtId="0" fontId="5" fillId="15" borderId="1" xfId="0" applyFont="1" applyFill="1" applyBorder="1" applyAlignment="1">
      <alignment vertical="center"/>
    </xf>
    <xf numFmtId="0" fontId="5" fillId="14" borderId="1" xfId="0" applyFont="1" applyFill="1" applyBorder="1"/>
    <xf numFmtId="0" fontId="5" fillId="13" borderId="1" xfId="0" applyFont="1" applyFill="1" applyBorder="1"/>
    <xf numFmtId="0" fontId="5" fillId="12" borderId="1" xfId="0" applyFont="1" applyFill="1" applyBorder="1"/>
    <xf numFmtId="0" fontId="12" fillId="2" borderId="9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3" fillId="0" borderId="18" xfId="0" applyFont="1" applyBorder="1" applyAlignment="1">
      <alignment horizontal="left" vertical="top" wrapText="1"/>
    </xf>
    <xf numFmtId="0" fontId="8" fillId="3" borderId="18" xfId="0" applyFont="1" applyFill="1" applyBorder="1"/>
    <xf numFmtId="0" fontId="2" fillId="6" borderId="9" xfId="0" applyFont="1" applyFill="1" applyBorder="1"/>
    <xf numFmtId="0" fontId="8" fillId="5" borderId="9" xfId="0" applyFont="1" applyFill="1" applyBorder="1"/>
    <xf numFmtId="0" fontId="8" fillId="3" borderId="9" xfId="0" applyFont="1" applyFill="1" applyBorder="1"/>
    <xf numFmtId="0" fontId="11" fillId="7" borderId="9" xfId="0" applyFont="1" applyFill="1" applyBorder="1"/>
    <xf numFmtId="0" fontId="5" fillId="8" borderId="9" xfId="0" applyFont="1" applyFill="1" applyBorder="1"/>
    <xf numFmtId="0" fontId="5" fillId="9" borderId="9" xfId="0" applyFont="1" applyFill="1" applyBorder="1"/>
    <xf numFmtId="0" fontId="5" fillId="5" borderId="9" xfId="0" applyFont="1" applyFill="1" applyBorder="1" applyAlignment="1">
      <alignment vertical="center"/>
    </xf>
    <xf numFmtId="0" fontId="5" fillId="10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0" fontId="5" fillId="15" borderId="9" xfId="0" applyFont="1" applyFill="1" applyBorder="1" applyAlignment="1">
      <alignment vertical="center"/>
    </xf>
    <xf numFmtId="0" fontId="5" fillId="14" borderId="9" xfId="0" applyFont="1" applyFill="1" applyBorder="1"/>
    <xf numFmtId="0" fontId="5" fillId="13" borderId="9" xfId="0" applyFont="1" applyFill="1" applyBorder="1"/>
    <xf numFmtId="0" fontId="5" fillId="12" borderId="9" xfId="0" applyFont="1" applyFill="1" applyBorder="1"/>
    <xf numFmtId="0" fontId="8" fillId="3" borderId="25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6" borderId="9" xfId="0" applyFont="1" applyFill="1" applyBorder="1"/>
    <xf numFmtId="0" fontId="3" fillId="0" borderId="1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wrapText="1"/>
    </xf>
    <xf numFmtId="0" fontId="3" fillId="0" borderId="11" xfId="0" applyFont="1" applyBorder="1" applyAlignment="1">
      <alignment horizontal="left" vertical="top" wrapText="1"/>
    </xf>
    <xf numFmtId="0" fontId="12" fillId="5" borderId="9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top"/>
    </xf>
    <xf numFmtId="0" fontId="12" fillId="10" borderId="9" xfId="0" applyFont="1" applyFill="1" applyBorder="1" applyAlignment="1">
      <alignment horizontal="left" vertical="center" wrapText="1"/>
    </xf>
    <xf numFmtId="0" fontId="12" fillId="15" borderId="9" xfId="0" applyFont="1" applyFill="1" applyBorder="1" applyAlignment="1">
      <alignment horizontal="left" vertical="center" wrapText="1"/>
    </xf>
    <xf numFmtId="0" fontId="5" fillId="14" borderId="9" xfId="0" applyFont="1" applyFill="1" applyBorder="1" applyAlignment="1">
      <alignment horizontal="left"/>
    </xf>
    <xf numFmtId="0" fontId="2" fillId="0" borderId="10" xfId="0" applyFont="1" applyBorder="1" applyAlignment="1">
      <alignment horizontal="left" vertical="top"/>
    </xf>
    <xf numFmtId="0" fontId="8" fillId="0" borderId="18" xfId="0" applyFont="1" applyBorder="1"/>
    <xf numFmtId="0" fontId="8" fillId="6" borderId="1" xfId="0" applyFont="1" applyFill="1" applyBorder="1"/>
    <xf numFmtId="0" fontId="0" fillId="0" borderId="17" xfId="0" applyBorder="1"/>
    <xf numFmtId="0" fontId="2" fillId="0" borderId="31" xfId="0" applyFont="1" applyBorder="1" applyAlignment="1">
      <alignment horizontal="center"/>
    </xf>
    <xf numFmtId="0" fontId="0" fillId="0" borderId="31" xfId="0" applyBorder="1"/>
    <xf numFmtId="2" fontId="2" fillId="0" borderId="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2" fillId="8" borderId="1" xfId="0" applyFont="1" applyFill="1" applyBorder="1"/>
    <xf numFmtId="0" fontId="12" fillId="9" borderId="1" xfId="0" applyFont="1" applyFill="1" applyBorder="1"/>
    <xf numFmtId="0" fontId="12" fillId="5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0" fillId="0" borderId="7" xfId="0" applyBorder="1"/>
    <xf numFmtId="0" fontId="12" fillId="15" borderId="1" xfId="0" applyFont="1" applyFill="1" applyBorder="1" applyAlignment="1">
      <alignment vertical="center"/>
    </xf>
    <xf numFmtId="0" fontId="12" fillId="14" borderId="1" xfId="0" applyFont="1" applyFill="1" applyBorder="1"/>
    <xf numFmtId="0" fontId="4" fillId="0" borderId="17" xfId="0" applyFont="1" applyBorder="1" applyAlignment="1">
      <alignment horizontal="center"/>
    </xf>
    <xf numFmtId="0" fontId="12" fillId="13" borderId="1" xfId="0" applyFont="1" applyFill="1" applyBorder="1"/>
    <xf numFmtId="0" fontId="12" fillId="12" borderId="1" xfId="0" applyFont="1" applyFill="1" applyBorder="1"/>
    <xf numFmtId="0" fontId="2" fillId="0" borderId="8" xfId="0" applyFont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12" borderId="25" xfId="0" applyFont="1" applyFill="1" applyBorder="1"/>
    <xf numFmtId="0" fontId="5" fillId="12" borderId="26" xfId="0" applyFont="1" applyFill="1" applyBorder="1"/>
    <xf numFmtId="0" fontId="5" fillId="12" borderId="25" xfId="0" applyFont="1" applyFill="1" applyBorder="1"/>
    <xf numFmtId="0" fontId="2" fillId="0" borderId="32" xfId="0" applyFont="1" applyBorder="1" applyAlignment="1">
      <alignment horizontal="center"/>
    </xf>
    <xf numFmtId="0" fontId="1" fillId="0" borderId="15" xfId="1" applyFill="1" applyBorder="1"/>
    <xf numFmtId="0" fontId="2" fillId="0" borderId="33" xfId="0" applyFont="1" applyBorder="1"/>
    <xf numFmtId="0" fontId="2" fillId="0" borderId="34" xfId="0" applyFont="1" applyBorder="1"/>
    <xf numFmtId="0" fontId="2" fillId="0" borderId="7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14" fillId="3" borderId="1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" fillId="0" borderId="7" xfId="1" applyBorder="1"/>
    <xf numFmtId="0" fontId="1" fillId="0" borderId="6" xfId="1" applyBorder="1"/>
    <xf numFmtId="0" fontId="1" fillId="0" borderId="15" xfId="1" applyBorder="1"/>
    <xf numFmtId="0" fontId="1" fillId="0" borderId="11" xfId="1" applyBorder="1"/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3" fillId="16" borderId="2" xfId="0" applyFont="1" applyFill="1" applyBorder="1" applyAlignment="1">
      <alignment horizontal="center"/>
    </xf>
    <xf numFmtId="0" fontId="13" fillId="16" borderId="3" xfId="0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nanameer719@gmail.com" TargetMode="External"/><Relationship Id="rId2" Type="http://schemas.openxmlformats.org/officeDocument/2006/relationships/hyperlink" Target="mailto:mubasharock8@gmail.com" TargetMode="External"/><Relationship Id="rId1" Type="http://schemas.openxmlformats.org/officeDocument/2006/relationships/hyperlink" Target="https://confiatech.com/" TargetMode="External"/><Relationship Id="rId5" Type="http://schemas.openxmlformats.org/officeDocument/2006/relationships/hyperlink" Target="https://chatbatt.com/" TargetMode="External"/><Relationship Id="rId4" Type="http://schemas.openxmlformats.org/officeDocument/2006/relationships/hyperlink" Target="https://confiatech.com/en/portfoli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iatech.com/en/portfolio/xploraluxe/" TargetMode="External"/><Relationship Id="rId2" Type="http://schemas.openxmlformats.org/officeDocument/2006/relationships/hyperlink" Target="https://confiatech.com/en/portfolio/loomcentric/" TargetMode="External"/><Relationship Id="rId1" Type="http://schemas.openxmlformats.org/officeDocument/2006/relationships/hyperlink" Target="mailto:info@ukpaktech.org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ukpaktech.org.u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hr@confiatech.com" TargetMode="External"/><Relationship Id="rId1" Type="http://schemas.openxmlformats.org/officeDocument/2006/relationships/hyperlink" Target="mailto:info@ukpaktech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C344-47E0-47EA-A3E9-1FABC598FBA0}">
  <dimension ref="B1:F123"/>
  <sheetViews>
    <sheetView topLeftCell="A97" workbookViewId="0">
      <selection activeCell="C126" sqref="C126"/>
    </sheetView>
  </sheetViews>
  <sheetFormatPr defaultRowHeight="15" x14ac:dyDescent="0.25"/>
  <cols>
    <col min="2" max="2" width="14.85546875" customWidth="1"/>
    <col min="3" max="3" width="65.42578125" customWidth="1"/>
    <col min="4" max="4" width="30.140625" customWidth="1"/>
    <col min="5" max="5" width="23.140625" customWidth="1"/>
    <col min="6" max="6" width="26.5703125" customWidth="1"/>
  </cols>
  <sheetData>
    <row r="1" spans="2:6" ht="15.75" thickBot="1" x14ac:dyDescent="0.3"/>
    <row r="2" spans="2:6" ht="26.25" thickBot="1" x14ac:dyDescent="0.4">
      <c r="B2" s="143" t="s">
        <v>0</v>
      </c>
      <c r="C2" s="144"/>
      <c r="D2" s="144"/>
      <c r="E2" s="144"/>
      <c r="F2" s="145"/>
    </row>
    <row r="3" spans="2:6" ht="16.5" thickBot="1" x14ac:dyDescent="0.3">
      <c r="B3" s="84" t="s">
        <v>142</v>
      </c>
      <c r="C3" s="85" t="s">
        <v>164</v>
      </c>
      <c r="D3" s="84" t="s">
        <v>143</v>
      </c>
      <c r="E3" s="69" t="s">
        <v>246</v>
      </c>
      <c r="F3" s="50" t="s">
        <v>247</v>
      </c>
    </row>
    <row r="4" spans="2:6" ht="16.5" thickBot="1" x14ac:dyDescent="0.3">
      <c r="B4" s="103" t="s">
        <v>248</v>
      </c>
      <c r="C4" s="86" t="s">
        <v>250</v>
      </c>
      <c r="D4" s="51"/>
      <c r="E4" s="70"/>
      <c r="F4" s="51"/>
    </row>
    <row r="5" spans="2:6" ht="15.75" x14ac:dyDescent="0.25">
      <c r="B5" s="24">
        <v>1.1000000000000001</v>
      </c>
      <c r="C5" s="5" t="s">
        <v>1</v>
      </c>
      <c r="D5" s="2" t="s">
        <v>327</v>
      </c>
      <c r="E5" s="5"/>
      <c r="F5" s="2"/>
    </row>
    <row r="6" spans="2:6" ht="15.75" x14ac:dyDescent="0.25">
      <c r="B6" s="23">
        <v>1.2</v>
      </c>
      <c r="C6" s="87" t="s">
        <v>46</v>
      </c>
      <c r="D6" s="3" t="s">
        <v>328</v>
      </c>
      <c r="E6" s="6"/>
      <c r="F6" s="3"/>
    </row>
    <row r="7" spans="2:6" ht="15.75" x14ac:dyDescent="0.25">
      <c r="B7" s="23">
        <v>1.3</v>
      </c>
      <c r="C7" s="87" t="s">
        <v>47</v>
      </c>
      <c r="D7" s="136" t="s">
        <v>329</v>
      </c>
      <c r="E7" s="6"/>
      <c r="F7" s="3"/>
    </row>
    <row r="8" spans="2:6" ht="15.75" x14ac:dyDescent="0.25">
      <c r="B8" s="23">
        <v>1.4</v>
      </c>
      <c r="C8" s="87" t="s">
        <v>2</v>
      </c>
      <c r="D8" s="3" t="s">
        <v>330</v>
      </c>
      <c r="E8" s="6"/>
      <c r="F8" s="3"/>
    </row>
    <row r="9" spans="2:6" ht="15.75" x14ac:dyDescent="0.25">
      <c r="B9" s="23">
        <v>1.5</v>
      </c>
      <c r="C9" s="87" t="s">
        <v>3</v>
      </c>
      <c r="D9" s="3">
        <v>2020</v>
      </c>
      <c r="E9" s="6"/>
      <c r="F9" s="3"/>
    </row>
    <row r="10" spans="2:6" ht="15.75" x14ac:dyDescent="0.25">
      <c r="B10" s="23">
        <v>1.6</v>
      </c>
      <c r="C10" s="87" t="s">
        <v>4</v>
      </c>
      <c r="D10" s="3" t="s">
        <v>331</v>
      </c>
      <c r="E10" s="6"/>
      <c r="F10" s="3"/>
    </row>
    <row r="11" spans="2:6" ht="15.75" x14ac:dyDescent="0.25">
      <c r="B11" s="23">
        <v>1.7</v>
      </c>
      <c r="C11" s="87" t="s">
        <v>5</v>
      </c>
      <c r="D11" s="3"/>
      <c r="E11" s="6"/>
      <c r="F11" s="3"/>
    </row>
    <row r="12" spans="2:6" ht="16.5" thickBot="1" x14ac:dyDescent="0.3">
      <c r="B12" s="104"/>
      <c r="C12" s="88"/>
      <c r="D12" s="11"/>
      <c r="E12" s="12"/>
      <c r="F12" s="11"/>
    </row>
    <row r="13" spans="2:6" ht="16.5" thickBot="1" x14ac:dyDescent="0.3">
      <c r="B13" s="52" t="s">
        <v>249</v>
      </c>
      <c r="C13" s="89" t="s">
        <v>252</v>
      </c>
      <c r="D13" s="52"/>
      <c r="E13" s="71"/>
      <c r="F13" s="52"/>
    </row>
    <row r="14" spans="2:6" ht="15.75" x14ac:dyDescent="0.25">
      <c r="B14" s="24">
        <v>2.1</v>
      </c>
      <c r="C14" s="90" t="s">
        <v>253</v>
      </c>
      <c r="D14" s="2" t="s">
        <v>332</v>
      </c>
      <c r="E14" s="5"/>
      <c r="F14" s="2"/>
    </row>
    <row r="15" spans="2:6" ht="15.75" x14ac:dyDescent="0.25">
      <c r="B15" s="23">
        <v>2.2000000000000002</v>
      </c>
      <c r="C15" s="87" t="s">
        <v>48</v>
      </c>
      <c r="D15" s="3" t="s">
        <v>333</v>
      </c>
      <c r="E15" s="6"/>
      <c r="F15" s="3"/>
    </row>
    <row r="16" spans="2:6" ht="19.5" customHeight="1" x14ac:dyDescent="0.25">
      <c r="B16" s="23">
        <v>2.2999999999999998</v>
      </c>
      <c r="C16" s="87" t="s">
        <v>49</v>
      </c>
      <c r="D16" s="136" t="s">
        <v>334</v>
      </c>
      <c r="E16" s="6"/>
      <c r="F16" s="3"/>
    </row>
    <row r="17" spans="2:6" ht="15.75" x14ac:dyDescent="0.25">
      <c r="B17" s="23">
        <v>2.4</v>
      </c>
      <c r="C17" s="87" t="s">
        <v>50</v>
      </c>
      <c r="D17" s="3">
        <f>92-337-9840683</f>
        <v>-9840928</v>
      </c>
      <c r="E17" s="6"/>
      <c r="F17" s="3"/>
    </row>
    <row r="18" spans="2:6" ht="15.75" x14ac:dyDescent="0.25">
      <c r="B18" s="23">
        <v>2.5</v>
      </c>
      <c r="C18" s="6" t="s">
        <v>6</v>
      </c>
      <c r="D18" s="3" t="s">
        <v>294</v>
      </c>
      <c r="E18" s="6"/>
      <c r="F18" s="3"/>
    </row>
    <row r="19" spans="2:6" ht="15.75" x14ac:dyDescent="0.25">
      <c r="B19" s="23">
        <v>2.6</v>
      </c>
      <c r="C19" s="6" t="s">
        <v>8</v>
      </c>
      <c r="D19" s="3"/>
      <c r="E19" s="6"/>
      <c r="F19" s="3"/>
    </row>
    <row r="20" spans="2:6" ht="16.5" thickBot="1" x14ac:dyDescent="0.3">
      <c r="B20" s="105"/>
      <c r="C20" s="46"/>
      <c r="D20" s="53"/>
      <c r="E20" s="46"/>
      <c r="F20" s="53"/>
    </row>
    <row r="21" spans="2:6" ht="16.5" thickBot="1" x14ac:dyDescent="0.3">
      <c r="B21" s="52" t="s">
        <v>251</v>
      </c>
      <c r="C21" s="89" t="s">
        <v>255</v>
      </c>
      <c r="D21" s="52"/>
      <c r="E21" s="71"/>
      <c r="F21" s="52"/>
    </row>
    <row r="22" spans="2:6" ht="15.75" x14ac:dyDescent="0.25">
      <c r="B22" s="24">
        <v>3.1</v>
      </c>
      <c r="C22" s="90" t="s">
        <v>254</v>
      </c>
      <c r="D22" s="2" t="s">
        <v>335</v>
      </c>
      <c r="E22" s="5"/>
      <c r="F22" s="2"/>
    </row>
    <row r="23" spans="2:6" ht="15.75" x14ac:dyDescent="0.25">
      <c r="B23" s="23">
        <v>3.2</v>
      </c>
      <c r="C23" s="87" t="s">
        <v>48</v>
      </c>
      <c r="D23" s="3" t="s">
        <v>336</v>
      </c>
      <c r="E23" s="6"/>
      <c r="F23" s="3"/>
    </row>
    <row r="24" spans="2:6" ht="15.75" x14ac:dyDescent="0.25">
      <c r="B24" s="23">
        <v>3.3</v>
      </c>
      <c r="C24" s="87" t="s">
        <v>49</v>
      </c>
      <c r="D24" s="136" t="s">
        <v>337</v>
      </c>
      <c r="E24" s="6"/>
      <c r="F24" s="3"/>
    </row>
    <row r="25" spans="2:6" ht="15.75" x14ac:dyDescent="0.25">
      <c r="B25" s="23">
        <v>3.4</v>
      </c>
      <c r="C25" s="87" t="s">
        <v>50</v>
      </c>
      <c r="D25" s="3">
        <f>92-337-9872855</f>
        <v>-9873100</v>
      </c>
      <c r="E25" s="6"/>
      <c r="F25" s="3"/>
    </row>
    <row r="26" spans="2:6" ht="15.75" x14ac:dyDescent="0.25">
      <c r="B26" s="23">
        <v>3.5</v>
      </c>
      <c r="C26" s="6" t="s">
        <v>6</v>
      </c>
      <c r="D26" s="3" t="s">
        <v>294</v>
      </c>
      <c r="E26" s="6"/>
      <c r="F26" s="3"/>
    </row>
    <row r="27" spans="2:6" ht="15.75" x14ac:dyDescent="0.25">
      <c r="B27" s="23">
        <v>3.6</v>
      </c>
      <c r="C27" s="6" t="s">
        <v>8</v>
      </c>
      <c r="D27" s="3"/>
      <c r="E27" s="6"/>
      <c r="F27" s="3"/>
    </row>
    <row r="28" spans="2:6" ht="16.5" thickBot="1" x14ac:dyDescent="0.3">
      <c r="B28" s="106"/>
      <c r="C28" s="46"/>
      <c r="D28" s="53"/>
      <c r="E28" s="46"/>
      <c r="F28" s="53"/>
    </row>
    <row r="29" spans="2:6" ht="16.5" thickBot="1" x14ac:dyDescent="0.3">
      <c r="B29" s="54" t="s">
        <v>256</v>
      </c>
      <c r="C29" s="91" t="s">
        <v>73</v>
      </c>
      <c r="D29" s="54"/>
      <c r="E29" s="72"/>
      <c r="F29" s="54"/>
    </row>
    <row r="30" spans="2:6" ht="15.75" x14ac:dyDescent="0.25">
      <c r="B30" s="24">
        <v>4.0999999999999996</v>
      </c>
      <c r="C30" s="5" t="s">
        <v>51</v>
      </c>
      <c r="D30" s="2" t="s">
        <v>338</v>
      </c>
      <c r="E30" s="5"/>
      <c r="F30" s="2"/>
    </row>
    <row r="31" spans="2:6" ht="15.75" x14ac:dyDescent="0.25">
      <c r="B31" s="23">
        <v>4.2</v>
      </c>
      <c r="C31" s="6" t="s">
        <v>52</v>
      </c>
      <c r="D31" s="3" t="s">
        <v>338</v>
      </c>
      <c r="E31" s="6"/>
      <c r="F31" s="3"/>
    </row>
    <row r="32" spans="2:6" ht="15.75" x14ac:dyDescent="0.25">
      <c r="B32" s="23">
        <v>4.3</v>
      </c>
      <c r="C32" s="6" t="s">
        <v>53</v>
      </c>
      <c r="D32" s="3"/>
      <c r="E32" s="6"/>
      <c r="F32" s="3"/>
    </row>
    <row r="33" spans="2:6" ht="15.75" x14ac:dyDescent="0.25">
      <c r="B33" s="23">
        <v>4.4000000000000004</v>
      </c>
      <c r="C33" s="6" t="s">
        <v>54</v>
      </c>
      <c r="D33" s="3"/>
      <c r="E33" s="6"/>
      <c r="F33" s="3"/>
    </row>
    <row r="34" spans="2:6" ht="15.75" x14ac:dyDescent="0.25">
      <c r="B34" s="23">
        <v>4.5</v>
      </c>
      <c r="C34" s="6" t="s">
        <v>55</v>
      </c>
      <c r="D34" s="3"/>
      <c r="E34" s="6"/>
      <c r="F34" s="3"/>
    </row>
    <row r="35" spans="2:6" ht="15.75" x14ac:dyDescent="0.25">
      <c r="B35" s="23">
        <v>4.5999999999999996</v>
      </c>
      <c r="C35" s="6" t="s">
        <v>56</v>
      </c>
      <c r="D35" s="3"/>
      <c r="E35" s="6"/>
      <c r="F35" s="3"/>
    </row>
    <row r="36" spans="2:6" ht="15.75" x14ac:dyDescent="0.25">
      <c r="B36" s="24">
        <v>4.7</v>
      </c>
      <c r="C36" s="6" t="s">
        <v>57</v>
      </c>
      <c r="D36" s="3"/>
      <c r="E36" s="6"/>
      <c r="F36" s="3"/>
    </row>
    <row r="37" spans="2:6" ht="15.75" x14ac:dyDescent="0.25">
      <c r="B37" s="23">
        <v>4.8</v>
      </c>
      <c r="C37" s="6" t="s">
        <v>58</v>
      </c>
      <c r="D37" s="3"/>
      <c r="E37" s="6"/>
      <c r="F37" s="3"/>
    </row>
    <row r="38" spans="2:6" ht="15.75" x14ac:dyDescent="0.25">
      <c r="B38" s="23">
        <v>4.9000000000000004</v>
      </c>
      <c r="C38" s="6" t="s">
        <v>59</v>
      </c>
      <c r="D38" s="3"/>
      <c r="E38" s="6"/>
      <c r="F38" s="3"/>
    </row>
    <row r="39" spans="2:6" ht="15.75" x14ac:dyDescent="0.25">
      <c r="B39" s="107">
        <v>4.0999999999999996</v>
      </c>
      <c r="C39" s="6" t="s">
        <v>60</v>
      </c>
      <c r="D39" s="3"/>
      <c r="E39" s="6"/>
      <c r="F39" s="3"/>
    </row>
    <row r="40" spans="2:6" ht="15.75" x14ac:dyDescent="0.25">
      <c r="B40" s="23">
        <v>4.1100000000000003</v>
      </c>
      <c r="C40" s="6" t="s">
        <v>61</v>
      </c>
      <c r="D40" s="3"/>
      <c r="E40" s="6"/>
      <c r="F40" s="3"/>
    </row>
    <row r="41" spans="2:6" ht="15.75" x14ac:dyDescent="0.25">
      <c r="B41" s="23">
        <v>4.12</v>
      </c>
      <c r="C41" s="6" t="s">
        <v>62</v>
      </c>
      <c r="D41" s="3"/>
      <c r="E41" s="6"/>
      <c r="F41" s="3"/>
    </row>
    <row r="42" spans="2:6" ht="15.75" x14ac:dyDescent="0.25">
      <c r="B42" s="107">
        <v>4.13</v>
      </c>
      <c r="C42" s="6" t="s">
        <v>63</v>
      </c>
      <c r="D42" s="3"/>
      <c r="E42" s="6"/>
      <c r="F42" s="3"/>
    </row>
    <row r="43" spans="2:6" ht="15.75" x14ac:dyDescent="0.25">
      <c r="B43" s="23">
        <v>4.1399999999999997</v>
      </c>
      <c r="C43" s="6" t="s">
        <v>64</v>
      </c>
      <c r="D43" s="3"/>
      <c r="E43" s="6"/>
      <c r="F43" s="3"/>
    </row>
    <row r="44" spans="2:6" ht="15.75" x14ac:dyDescent="0.25">
      <c r="B44" s="23">
        <v>4.1500000000000004</v>
      </c>
      <c r="C44" s="6" t="s">
        <v>65</v>
      </c>
      <c r="D44" s="3"/>
      <c r="E44" s="6"/>
      <c r="F44" s="3"/>
    </row>
    <row r="45" spans="2:6" ht="15.75" x14ac:dyDescent="0.25">
      <c r="B45" s="107">
        <v>4.16</v>
      </c>
      <c r="C45" s="6" t="s">
        <v>66</v>
      </c>
      <c r="D45" s="3"/>
      <c r="E45" s="6"/>
      <c r="F45" s="3"/>
    </row>
    <row r="46" spans="2:6" ht="15.75" x14ac:dyDescent="0.25">
      <c r="B46" s="23">
        <v>4.17</v>
      </c>
      <c r="C46" s="6" t="s">
        <v>67</v>
      </c>
      <c r="D46" s="3"/>
      <c r="E46" s="6"/>
      <c r="F46" s="3"/>
    </row>
    <row r="47" spans="2:6" ht="15.75" x14ac:dyDescent="0.25">
      <c r="B47" s="23">
        <v>4.18</v>
      </c>
      <c r="C47" s="6" t="s">
        <v>68</v>
      </c>
      <c r="D47" s="3"/>
      <c r="E47" s="6"/>
      <c r="F47" s="3"/>
    </row>
    <row r="48" spans="2:6" ht="15.75" x14ac:dyDescent="0.25">
      <c r="B48" s="107">
        <v>4.1900000000000004</v>
      </c>
      <c r="C48" s="6" t="s">
        <v>69</v>
      </c>
      <c r="D48" s="3"/>
      <c r="E48" s="6"/>
      <c r="F48" s="3"/>
    </row>
    <row r="49" spans="2:6" ht="15.75" x14ac:dyDescent="0.25">
      <c r="B49" s="107">
        <v>4.2</v>
      </c>
      <c r="C49" s="6" t="s">
        <v>70</v>
      </c>
      <c r="D49" s="3"/>
      <c r="E49" s="6"/>
      <c r="F49" s="3"/>
    </row>
    <row r="50" spans="2:6" ht="15.75" x14ac:dyDescent="0.25">
      <c r="B50" s="23">
        <v>4.21</v>
      </c>
      <c r="C50" s="6" t="s">
        <v>72</v>
      </c>
      <c r="D50" s="3"/>
      <c r="E50" s="6"/>
      <c r="F50" s="3"/>
    </row>
    <row r="51" spans="2:6" ht="15.75" x14ac:dyDescent="0.25">
      <c r="B51" s="23">
        <v>4.24</v>
      </c>
      <c r="C51" s="92" t="s">
        <v>71</v>
      </c>
      <c r="D51" s="3"/>
      <c r="E51" s="6"/>
      <c r="F51" s="3"/>
    </row>
    <row r="52" spans="2:6" ht="15.75" x14ac:dyDescent="0.25">
      <c r="B52" s="23">
        <v>4.25</v>
      </c>
      <c r="C52" s="6" t="s">
        <v>257</v>
      </c>
      <c r="D52" s="3"/>
      <c r="E52" s="6"/>
      <c r="F52" s="3"/>
    </row>
    <row r="53" spans="2:6" ht="16.5" thickBot="1" x14ac:dyDescent="0.3">
      <c r="B53" s="104"/>
      <c r="C53" s="12"/>
      <c r="D53" s="11"/>
      <c r="E53" s="12"/>
      <c r="F53" s="11"/>
    </row>
    <row r="54" spans="2:6" ht="16.5" thickBot="1" x14ac:dyDescent="0.3">
      <c r="B54" s="55" t="s">
        <v>258</v>
      </c>
      <c r="C54" s="73" t="s">
        <v>259</v>
      </c>
      <c r="D54" s="55"/>
      <c r="E54" s="73"/>
      <c r="F54" s="55"/>
    </row>
    <row r="55" spans="2:6" ht="15.75" x14ac:dyDescent="0.25">
      <c r="B55" s="24">
        <v>5.0999999999999996</v>
      </c>
      <c r="C55" s="5" t="s">
        <v>9</v>
      </c>
      <c r="D55" s="2" t="s">
        <v>338</v>
      </c>
      <c r="E55" s="5"/>
      <c r="F55" s="2"/>
    </row>
    <row r="56" spans="2:6" ht="15.75" x14ac:dyDescent="0.25">
      <c r="B56" s="23">
        <v>5.2</v>
      </c>
      <c r="C56" s="6" t="s">
        <v>10</v>
      </c>
      <c r="D56" s="2" t="s">
        <v>338</v>
      </c>
      <c r="E56" s="6"/>
      <c r="F56" s="3"/>
    </row>
    <row r="57" spans="2:6" ht="15.75" x14ac:dyDescent="0.25">
      <c r="B57" s="23">
        <v>5.3</v>
      </c>
      <c r="C57" s="6" t="s">
        <v>11</v>
      </c>
      <c r="D57" s="2" t="s">
        <v>338</v>
      </c>
      <c r="E57" s="6"/>
      <c r="F57" s="3"/>
    </row>
    <row r="58" spans="2:6" ht="15.75" x14ac:dyDescent="0.25">
      <c r="B58" s="23">
        <v>5.4</v>
      </c>
      <c r="C58" s="6" t="s">
        <v>12</v>
      </c>
      <c r="D58" s="2" t="s">
        <v>338</v>
      </c>
      <c r="E58" s="6"/>
      <c r="F58" s="3"/>
    </row>
    <row r="59" spans="2:6" ht="15.75" x14ac:dyDescent="0.25">
      <c r="B59" s="23">
        <v>5.5</v>
      </c>
      <c r="C59" s="93" t="s">
        <v>13</v>
      </c>
      <c r="D59" s="2" t="s">
        <v>338</v>
      </c>
      <c r="E59" s="6"/>
      <c r="F59" s="3"/>
    </row>
    <row r="60" spans="2:6" ht="15.75" customHeight="1" x14ac:dyDescent="0.25">
      <c r="B60" s="23">
        <v>5.6</v>
      </c>
      <c r="C60" s="93" t="s">
        <v>14</v>
      </c>
      <c r="D60" s="2" t="s">
        <v>338</v>
      </c>
      <c r="E60" s="6"/>
      <c r="F60" s="3"/>
    </row>
    <row r="61" spans="2:6" ht="15.75" x14ac:dyDescent="0.25">
      <c r="B61" s="24">
        <v>5.7</v>
      </c>
      <c r="C61" s="6" t="s">
        <v>15</v>
      </c>
      <c r="D61" s="2" t="s">
        <v>338</v>
      </c>
      <c r="E61" s="6"/>
      <c r="F61" s="3"/>
    </row>
    <row r="62" spans="2:6" ht="15.75" x14ac:dyDescent="0.25">
      <c r="B62" s="23">
        <v>5.8</v>
      </c>
      <c r="C62" s="6" t="s">
        <v>16</v>
      </c>
      <c r="D62" s="2" t="s">
        <v>338</v>
      </c>
      <c r="E62" s="6"/>
      <c r="F62" s="3"/>
    </row>
    <row r="63" spans="2:6" ht="15.75" x14ac:dyDescent="0.25">
      <c r="B63" s="23">
        <v>5.9</v>
      </c>
      <c r="C63" s="6" t="s">
        <v>17</v>
      </c>
      <c r="D63" s="2" t="s">
        <v>338</v>
      </c>
      <c r="E63" s="6"/>
      <c r="F63" s="3"/>
    </row>
    <row r="64" spans="2:6" ht="15.75" x14ac:dyDescent="0.25">
      <c r="B64" s="107">
        <v>5.0999999999999996</v>
      </c>
      <c r="C64" s="6" t="s">
        <v>18</v>
      </c>
      <c r="D64" s="2"/>
      <c r="E64" s="6"/>
      <c r="F64" s="3"/>
    </row>
    <row r="65" spans="2:6" ht="15.75" x14ac:dyDescent="0.25">
      <c r="B65" s="23">
        <v>5.1100000000000003</v>
      </c>
      <c r="C65" s="6" t="s">
        <v>19</v>
      </c>
      <c r="D65" s="2" t="s">
        <v>338</v>
      </c>
      <c r="E65" s="6"/>
      <c r="F65" s="3"/>
    </row>
    <row r="66" spans="2:6" ht="15.75" x14ac:dyDescent="0.25">
      <c r="B66" s="23">
        <v>5.12</v>
      </c>
      <c r="C66" s="6" t="s">
        <v>20</v>
      </c>
      <c r="D66" s="2" t="s">
        <v>338</v>
      </c>
      <c r="E66" s="6"/>
      <c r="F66" s="3"/>
    </row>
    <row r="67" spans="2:6" ht="15.75" x14ac:dyDescent="0.25">
      <c r="B67" s="107">
        <v>5.13</v>
      </c>
      <c r="C67" s="6" t="s">
        <v>21</v>
      </c>
      <c r="D67" s="2" t="s">
        <v>338</v>
      </c>
      <c r="E67" s="6"/>
      <c r="F67" s="3"/>
    </row>
    <row r="68" spans="2:6" ht="15.75" x14ac:dyDescent="0.25">
      <c r="B68" s="23">
        <v>5.14</v>
      </c>
      <c r="C68" s="6" t="s">
        <v>22</v>
      </c>
      <c r="D68" s="2" t="s">
        <v>339</v>
      </c>
      <c r="E68" s="6"/>
      <c r="F68" s="3"/>
    </row>
    <row r="69" spans="2:6" ht="16.5" thickBot="1" x14ac:dyDescent="0.3">
      <c r="B69" s="108"/>
      <c r="C69" s="12"/>
      <c r="D69" s="11"/>
      <c r="E69" s="12"/>
      <c r="F69" s="11"/>
    </row>
    <row r="70" spans="2:6" ht="16.5" thickBot="1" x14ac:dyDescent="0.3">
      <c r="B70" s="109" t="s">
        <v>260</v>
      </c>
      <c r="C70" s="74" t="s">
        <v>261</v>
      </c>
      <c r="D70" s="56"/>
      <c r="E70" s="74"/>
      <c r="F70" s="56"/>
    </row>
    <row r="71" spans="2:6" ht="15.75" x14ac:dyDescent="0.25">
      <c r="B71" s="24">
        <v>6.1</v>
      </c>
      <c r="C71" s="5" t="s">
        <v>23</v>
      </c>
      <c r="D71" s="2" t="s">
        <v>342</v>
      </c>
      <c r="E71" s="5"/>
      <c r="F71" s="2"/>
    </row>
    <row r="72" spans="2:6" ht="15.75" x14ac:dyDescent="0.25">
      <c r="B72" s="23">
        <v>6.2</v>
      </c>
      <c r="C72" s="6" t="s">
        <v>24</v>
      </c>
      <c r="D72" s="3" t="s">
        <v>343</v>
      </c>
      <c r="E72" s="6"/>
      <c r="F72" s="3"/>
    </row>
    <row r="73" spans="2:6" ht="15.75" x14ac:dyDescent="0.25">
      <c r="B73" s="23">
        <v>6.3</v>
      </c>
      <c r="C73" s="6" t="s">
        <v>25</v>
      </c>
      <c r="D73" s="3" t="s">
        <v>340</v>
      </c>
      <c r="E73" s="6"/>
      <c r="F73" s="3"/>
    </row>
    <row r="74" spans="2:6" ht="15.75" x14ac:dyDescent="0.25">
      <c r="B74" s="23">
        <v>6.4</v>
      </c>
      <c r="C74" s="6" t="s">
        <v>26</v>
      </c>
      <c r="D74" s="3"/>
      <c r="E74" s="6"/>
      <c r="F74" s="3"/>
    </row>
    <row r="75" spans="2:6" ht="16.5" thickBot="1" x14ac:dyDescent="0.3">
      <c r="B75" s="104"/>
      <c r="C75" s="12"/>
      <c r="D75" s="11"/>
      <c r="E75" s="12"/>
      <c r="F75" s="11"/>
    </row>
    <row r="76" spans="2:6" ht="19.5" customHeight="1" thickBot="1" x14ac:dyDescent="0.3">
      <c r="B76" s="110" t="s">
        <v>262</v>
      </c>
      <c r="C76" s="75" t="s">
        <v>264</v>
      </c>
      <c r="D76" s="57"/>
      <c r="E76" s="75"/>
      <c r="F76" s="57"/>
    </row>
    <row r="77" spans="2:6" ht="18.75" customHeight="1" x14ac:dyDescent="0.25">
      <c r="B77" s="24">
        <v>7.1</v>
      </c>
      <c r="C77" s="5" t="s">
        <v>27</v>
      </c>
      <c r="D77" s="2" t="s">
        <v>341</v>
      </c>
      <c r="E77" s="5"/>
      <c r="F77" s="2"/>
    </row>
    <row r="78" spans="2:6" ht="18" customHeight="1" x14ac:dyDescent="0.25">
      <c r="B78" s="23">
        <v>7.2</v>
      </c>
      <c r="C78" s="6" t="s">
        <v>28</v>
      </c>
      <c r="D78" s="3" t="s">
        <v>344</v>
      </c>
      <c r="E78" s="6"/>
      <c r="F78" s="3"/>
    </row>
    <row r="79" spans="2:6" ht="15.75" x14ac:dyDescent="0.25">
      <c r="B79" s="23">
        <v>7.3</v>
      </c>
      <c r="C79" s="93" t="s">
        <v>29</v>
      </c>
      <c r="D79" s="136" t="s">
        <v>345</v>
      </c>
      <c r="E79" s="6"/>
      <c r="F79" s="3"/>
    </row>
    <row r="80" spans="2:6" ht="21.75" customHeight="1" thickBot="1" x14ac:dyDescent="0.3">
      <c r="B80" s="104"/>
      <c r="C80" s="68" t="s">
        <v>7</v>
      </c>
      <c r="D80" s="11"/>
      <c r="E80" s="12"/>
      <c r="F80" s="11"/>
    </row>
    <row r="81" spans="2:6" ht="15.75" thickBot="1" x14ac:dyDescent="0.3">
      <c r="B81" s="111" t="s">
        <v>263</v>
      </c>
      <c r="C81" s="94" t="s">
        <v>265</v>
      </c>
      <c r="D81" s="58"/>
      <c r="E81" s="76"/>
      <c r="F81" s="58"/>
    </row>
    <row r="82" spans="2:6" ht="15.75" x14ac:dyDescent="0.25">
      <c r="B82" s="24">
        <v>8.1</v>
      </c>
      <c r="C82" s="95" t="s">
        <v>30</v>
      </c>
      <c r="D82" s="2">
        <v>13</v>
      </c>
      <c r="E82" s="5"/>
      <c r="F82" s="2"/>
    </row>
    <row r="83" spans="2:6" ht="15.75" x14ac:dyDescent="0.25">
      <c r="B83" s="23">
        <v>8.1999999999999993</v>
      </c>
      <c r="C83" s="87" t="s">
        <v>31</v>
      </c>
      <c r="D83" s="3"/>
      <c r="E83" s="6"/>
      <c r="F83" s="3"/>
    </row>
    <row r="84" spans="2:6" ht="15.75" x14ac:dyDescent="0.25">
      <c r="B84" s="23">
        <v>8.3000000000000007</v>
      </c>
      <c r="C84" s="96" t="s">
        <v>32</v>
      </c>
      <c r="D84" s="3" t="s">
        <v>346</v>
      </c>
      <c r="E84" s="6"/>
      <c r="F84" s="3"/>
    </row>
    <row r="85" spans="2:6" ht="15.75" x14ac:dyDescent="0.25">
      <c r="B85" s="23">
        <v>8.4</v>
      </c>
      <c r="C85" s="87" t="s">
        <v>33</v>
      </c>
      <c r="D85" s="3" t="s">
        <v>347</v>
      </c>
      <c r="E85" s="6"/>
      <c r="F85" s="3"/>
    </row>
    <row r="86" spans="2:6" ht="15.75" x14ac:dyDescent="0.25">
      <c r="B86" s="23">
        <v>8.5</v>
      </c>
      <c r="C86" s="97" t="s">
        <v>279</v>
      </c>
      <c r="D86" s="3"/>
      <c r="E86" s="6"/>
      <c r="F86" s="3"/>
    </row>
    <row r="87" spans="2:6" ht="21.75" customHeight="1" thickBot="1" x14ac:dyDescent="0.3">
      <c r="B87" s="104"/>
      <c r="C87" s="68"/>
      <c r="D87" s="11"/>
      <c r="E87" s="12"/>
      <c r="F87" s="11"/>
    </row>
    <row r="88" spans="2:6" ht="18.75" customHeight="1" thickBot="1" x14ac:dyDescent="0.3">
      <c r="B88" s="112" t="s">
        <v>272</v>
      </c>
      <c r="C88" s="98" t="s">
        <v>266</v>
      </c>
      <c r="D88" s="59"/>
      <c r="E88" s="77"/>
      <c r="F88" s="59"/>
    </row>
    <row r="89" spans="2:6" ht="18" customHeight="1" x14ac:dyDescent="0.25">
      <c r="B89" s="24">
        <v>9.1</v>
      </c>
      <c r="C89" s="95" t="s">
        <v>45</v>
      </c>
      <c r="D89" s="2" t="s">
        <v>348</v>
      </c>
      <c r="E89" s="5"/>
      <c r="F89" s="2"/>
    </row>
    <row r="90" spans="2:6" ht="18" customHeight="1" x14ac:dyDescent="0.25">
      <c r="B90" s="23">
        <v>9.1999999999999993</v>
      </c>
      <c r="C90" s="93" t="s">
        <v>44</v>
      </c>
      <c r="D90" s="3" t="s">
        <v>338</v>
      </c>
      <c r="E90" s="6"/>
      <c r="F90" s="3"/>
    </row>
    <row r="91" spans="2:6" ht="15.75" x14ac:dyDescent="0.25">
      <c r="B91" s="23"/>
      <c r="C91" s="93" t="s">
        <v>42</v>
      </c>
      <c r="D91" s="3"/>
      <c r="E91" s="6"/>
      <c r="F91" s="3"/>
    </row>
    <row r="92" spans="2:6" ht="15.75" x14ac:dyDescent="0.25">
      <c r="B92" s="23">
        <v>9.3000000000000007</v>
      </c>
      <c r="C92" s="93" t="s">
        <v>43</v>
      </c>
      <c r="D92" s="3" t="s">
        <v>338</v>
      </c>
      <c r="E92" s="6"/>
      <c r="F92" s="3"/>
    </row>
    <row r="93" spans="2:6" ht="15.75" x14ac:dyDescent="0.25">
      <c r="B93" s="23"/>
      <c r="C93" s="93" t="s">
        <v>42</v>
      </c>
      <c r="D93" s="3"/>
      <c r="E93" s="6"/>
      <c r="F93" s="3"/>
    </row>
    <row r="94" spans="2:6" ht="15.75" x14ac:dyDescent="0.25">
      <c r="B94" s="23">
        <v>9.4</v>
      </c>
      <c r="C94" s="93" t="s">
        <v>41</v>
      </c>
      <c r="D94" s="3" t="s">
        <v>349</v>
      </c>
      <c r="E94" s="6"/>
      <c r="F94" s="3"/>
    </row>
    <row r="95" spans="2:6" ht="16.5" thickBot="1" x14ac:dyDescent="0.3">
      <c r="B95" s="113"/>
      <c r="C95" s="93"/>
      <c r="D95" s="3"/>
      <c r="E95" s="6"/>
      <c r="F95" s="3"/>
    </row>
    <row r="96" spans="2:6" ht="15.75" thickBot="1" x14ac:dyDescent="0.3">
      <c r="B96" s="47" t="s">
        <v>273</v>
      </c>
      <c r="C96" s="66" t="s">
        <v>269</v>
      </c>
      <c r="D96" s="60"/>
      <c r="E96" s="78"/>
      <c r="F96" s="60"/>
    </row>
    <row r="97" spans="2:6" ht="30" x14ac:dyDescent="0.25">
      <c r="B97" s="48"/>
      <c r="C97" s="67" t="s">
        <v>271</v>
      </c>
      <c r="D97" s="61"/>
      <c r="E97" s="79"/>
      <c r="F97" s="61"/>
    </row>
    <row r="98" spans="2:6" ht="15.75" x14ac:dyDescent="0.25">
      <c r="B98" s="24">
        <v>10.1</v>
      </c>
      <c r="C98" s="6" t="s">
        <v>270</v>
      </c>
      <c r="D98" s="3" t="s">
        <v>350</v>
      </c>
      <c r="E98" s="6"/>
      <c r="F98" s="3"/>
    </row>
    <row r="99" spans="2:6" ht="15.75" x14ac:dyDescent="0.25">
      <c r="B99" s="23">
        <v>10.199999999999999</v>
      </c>
      <c r="C99" s="6" t="s">
        <v>268</v>
      </c>
      <c r="E99" s="6"/>
      <c r="F99" s="3"/>
    </row>
    <row r="100" spans="2:6" ht="15.75" x14ac:dyDescent="0.25">
      <c r="B100" s="23">
        <v>10.3</v>
      </c>
      <c r="C100" s="6" t="s">
        <v>267</v>
      </c>
      <c r="D100" s="3"/>
      <c r="E100" s="6"/>
      <c r="F100" s="3"/>
    </row>
    <row r="101" spans="2:6" ht="16.5" thickBot="1" x14ac:dyDescent="0.3">
      <c r="B101" s="49"/>
      <c r="C101" s="68"/>
      <c r="D101" s="11"/>
      <c r="E101" s="12"/>
      <c r="F101" s="11"/>
    </row>
    <row r="102" spans="2:6" ht="15.75" thickBot="1" x14ac:dyDescent="0.3">
      <c r="B102" s="114" t="s">
        <v>275</v>
      </c>
      <c r="C102" s="99" t="s">
        <v>274</v>
      </c>
      <c r="D102" s="62"/>
      <c r="E102" s="80"/>
      <c r="F102" s="62"/>
    </row>
    <row r="103" spans="2:6" ht="15.75" x14ac:dyDescent="0.25">
      <c r="B103" s="24">
        <v>11.1</v>
      </c>
      <c r="C103" s="95" t="s">
        <v>280</v>
      </c>
      <c r="D103" s="2" t="s">
        <v>351</v>
      </c>
      <c r="E103" s="5"/>
      <c r="F103" s="2"/>
    </row>
    <row r="104" spans="2:6" ht="16.5" customHeight="1" x14ac:dyDescent="0.25">
      <c r="B104" s="23">
        <v>11.2</v>
      </c>
      <c r="C104" s="93" t="s">
        <v>281</v>
      </c>
      <c r="D104" s="3" t="s">
        <v>351</v>
      </c>
      <c r="E104" s="6"/>
      <c r="F104" s="3"/>
    </row>
    <row r="105" spans="2:6" ht="15.75" x14ac:dyDescent="0.25">
      <c r="B105" s="23">
        <v>11.3</v>
      </c>
      <c r="C105" s="97" t="s">
        <v>282</v>
      </c>
      <c r="D105" s="3" t="s">
        <v>351</v>
      </c>
      <c r="E105" s="6"/>
      <c r="F105" s="3"/>
    </row>
    <row r="106" spans="2:6" ht="16.5" thickBot="1" x14ac:dyDescent="0.3">
      <c r="B106" s="113"/>
      <c r="C106" s="87"/>
      <c r="D106" s="3"/>
      <c r="E106" s="6"/>
      <c r="F106" s="3"/>
    </row>
    <row r="107" spans="2:6" ht="16.5" thickBot="1" x14ac:dyDescent="0.3">
      <c r="B107" s="115" t="s">
        <v>277</v>
      </c>
      <c r="C107" s="100" t="s">
        <v>276</v>
      </c>
      <c r="D107" s="63"/>
      <c r="E107" s="81"/>
      <c r="F107" s="63"/>
    </row>
    <row r="108" spans="2:6" ht="15.75" x14ac:dyDescent="0.25">
      <c r="B108" s="24">
        <v>12.1</v>
      </c>
      <c r="C108" s="101" t="s">
        <v>40</v>
      </c>
      <c r="D108" s="2" t="s">
        <v>352</v>
      </c>
      <c r="E108" s="5"/>
      <c r="F108" s="2"/>
    </row>
    <row r="109" spans="2:6" ht="15.75" x14ac:dyDescent="0.25">
      <c r="B109" s="23"/>
      <c r="C109" s="97" t="s">
        <v>39</v>
      </c>
      <c r="D109" s="3"/>
      <c r="E109" s="6"/>
      <c r="F109" s="3"/>
    </row>
    <row r="110" spans="2:6" ht="15.75" x14ac:dyDescent="0.25">
      <c r="B110" s="23">
        <v>12.2</v>
      </c>
      <c r="C110" s="97" t="s">
        <v>38</v>
      </c>
      <c r="D110" s="3" t="s">
        <v>353</v>
      </c>
      <c r="E110" s="6"/>
      <c r="F110" s="3"/>
    </row>
    <row r="111" spans="2:6" ht="15.75" x14ac:dyDescent="0.25">
      <c r="B111" s="23"/>
      <c r="C111" s="97" t="s">
        <v>37</v>
      </c>
      <c r="D111" s="3"/>
      <c r="E111" s="6"/>
      <c r="F111" s="3"/>
    </row>
    <row r="112" spans="2:6" ht="15.75" x14ac:dyDescent="0.25">
      <c r="B112" s="23">
        <v>12.3</v>
      </c>
      <c r="C112" s="97" t="s">
        <v>36</v>
      </c>
      <c r="D112" s="3" t="s">
        <v>354</v>
      </c>
      <c r="E112" s="6"/>
      <c r="F112" s="3"/>
    </row>
    <row r="113" spans="2:6" ht="16.5" thickBot="1" x14ac:dyDescent="0.3">
      <c r="B113" s="116"/>
      <c r="C113" s="102"/>
      <c r="D113" s="11"/>
      <c r="E113" s="12"/>
      <c r="F113" s="11"/>
    </row>
    <row r="114" spans="2:6" ht="16.5" thickBot="1" x14ac:dyDescent="0.3">
      <c r="B114" s="117" t="s">
        <v>283</v>
      </c>
      <c r="C114" s="82" t="s">
        <v>278</v>
      </c>
      <c r="D114" s="64"/>
      <c r="E114" s="82"/>
      <c r="F114" s="64"/>
    </row>
    <row r="115" spans="2:6" ht="15.75" x14ac:dyDescent="0.25">
      <c r="B115" s="24">
        <v>13.1</v>
      </c>
      <c r="C115" s="5" t="s">
        <v>34</v>
      </c>
      <c r="D115" s="137" t="s">
        <v>355</v>
      </c>
      <c r="E115" s="5"/>
      <c r="F115" s="2"/>
    </row>
    <row r="116" spans="2:6" ht="15.75" x14ac:dyDescent="0.25">
      <c r="B116" s="23">
        <v>13.2</v>
      </c>
      <c r="C116" s="6" t="s">
        <v>35</v>
      </c>
      <c r="D116" s="3" t="s">
        <v>356</v>
      </c>
      <c r="E116" s="6" t="s">
        <v>357</v>
      </c>
      <c r="F116" s="3"/>
    </row>
    <row r="117" spans="2:6" ht="16.5" thickBot="1" x14ac:dyDescent="0.3">
      <c r="B117" s="49"/>
      <c r="C117" s="7"/>
      <c r="D117" s="4"/>
      <c r="E117" s="7"/>
      <c r="F117" s="4"/>
    </row>
    <row r="118" spans="2:6" ht="16.5" thickBot="1" x14ac:dyDescent="0.3">
      <c r="B118" s="118" t="s">
        <v>287</v>
      </c>
      <c r="C118" s="83" t="s">
        <v>288</v>
      </c>
      <c r="D118" s="65"/>
      <c r="E118" s="83"/>
      <c r="F118" s="65"/>
    </row>
    <row r="119" spans="2:6" ht="15.75" x14ac:dyDescent="0.25">
      <c r="B119" s="24">
        <v>14.1</v>
      </c>
      <c r="C119" s="46" t="s">
        <v>290</v>
      </c>
      <c r="D119" s="53"/>
      <c r="E119" s="46"/>
      <c r="F119" s="53"/>
    </row>
    <row r="120" spans="2:6" ht="15.75" x14ac:dyDescent="0.25">
      <c r="B120" s="23">
        <v>14.2</v>
      </c>
      <c r="C120" s="6" t="s">
        <v>286</v>
      </c>
      <c r="D120" s="3"/>
      <c r="E120" s="6"/>
      <c r="F120" s="3"/>
    </row>
    <row r="121" spans="2:6" ht="15.75" x14ac:dyDescent="0.25">
      <c r="B121" s="23">
        <v>14.3</v>
      </c>
      <c r="C121" s="6" t="s">
        <v>284</v>
      </c>
      <c r="D121" s="3"/>
      <c r="E121" s="6"/>
      <c r="F121" s="3"/>
    </row>
    <row r="122" spans="2:6" ht="15.75" x14ac:dyDescent="0.25">
      <c r="B122" s="23">
        <v>14.4</v>
      </c>
      <c r="C122" s="6" t="s">
        <v>285</v>
      </c>
      <c r="D122" s="3"/>
      <c r="E122" s="6"/>
      <c r="F122" s="3"/>
    </row>
    <row r="123" spans="2:6" ht="16.5" thickBot="1" x14ac:dyDescent="0.3">
      <c r="B123" s="119">
        <v>14.5</v>
      </c>
      <c r="C123" s="7" t="s">
        <v>289</v>
      </c>
      <c r="D123" s="4"/>
      <c r="E123" s="7"/>
      <c r="F123" s="4"/>
    </row>
  </sheetData>
  <mergeCells count="1">
    <mergeCell ref="B2:F2"/>
  </mergeCells>
  <hyperlinks>
    <hyperlink ref="D7" r:id="rId1" xr:uid="{26B8DE31-A133-4B0B-84EC-A85897174824}"/>
    <hyperlink ref="D16" r:id="rId2" xr:uid="{6BC2A4D2-34CD-4564-A816-AE7F1E9C2FF9}"/>
    <hyperlink ref="D24" r:id="rId3" xr:uid="{4999CEF3-D0BB-4C30-8B3A-36D5CBDE673E}"/>
    <hyperlink ref="D79" r:id="rId4" xr:uid="{D31E8984-EFC0-404F-80C1-D5E22FD6F9BE}"/>
    <hyperlink ref="D115" r:id="rId5" xr:uid="{2C378C31-EF8A-4CB4-BEA5-B516F633F1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301C-FBFC-4DAB-8B75-7B731551D736}">
  <dimension ref="B1:G38"/>
  <sheetViews>
    <sheetView workbookViewId="0">
      <selection activeCell="M27" sqref="M27"/>
    </sheetView>
  </sheetViews>
  <sheetFormatPr defaultRowHeight="15" x14ac:dyDescent="0.25"/>
  <cols>
    <col min="2" max="2" width="11.42578125" customWidth="1"/>
    <col min="3" max="3" width="30.28515625" customWidth="1"/>
    <col min="4" max="4" width="71" customWidth="1"/>
    <col min="5" max="5" width="19.28515625" customWidth="1"/>
    <col min="6" max="6" width="25.28515625" customWidth="1"/>
    <col min="7" max="7" width="19.5703125" customWidth="1"/>
  </cols>
  <sheetData>
    <row r="1" spans="2:7" ht="15.75" thickBot="1" x14ac:dyDescent="0.3"/>
    <row r="2" spans="2:7" ht="27" thickBot="1" x14ac:dyDescent="0.45">
      <c r="B2" s="146" t="s">
        <v>226</v>
      </c>
      <c r="C2" s="146"/>
      <c r="D2" s="146"/>
      <c r="E2" s="146"/>
      <c r="F2" s="146"/>
      <c r="G2" s="147"/>
    </row>
    <row r="3" spans="2:7" ht="16.5" thickBot="1" x14ac:dyDescent="0.3">
      <c r="B3" s="31" t="s">
        <v>142</v>
      </c>
      <c r="C3" s="33" t="s">
        <v>143</v>
      </c>
      <c r="D3" s="32" t="s">
        <v>164</v>
      </c>
      <c r="E3" s="26" t="s">
        <v>227</v>
      </c>
      <c r="F3" s="26" t="s">
        <v>228</v>
      </c>
      <c r="G3" s="26" t="s">
        <v>229</v>
      </c>
    </row>
    <row r="4" spans="2:7" ht="15.75" x14ac:dyDescent="0.25">
      <c r="B4" s="39">
        <v>1</v>
      </c>
      <c r="C4" s="37" t="s">
        <v>74</v>
      </c>
      <c r="D4" s="34" t="s">
        <v>232</v>
      </c>
      <c r="E4" s="35" t="s">
        <v>358</v>
      </c>
      <c r="F4" s="34" t="s">
        <v>359</v>
      </c>
      <c r="G4" s="36" t="s">
        <v>390</v>
      </c>
    </row>
    <row r="5" spans="2:7" ht="15.75" x14ac:dyDescent="0.25">
      <c r="B5" s="40">
        <v>2</v>
      </c>
      <c r="C5" s="38" t="s">
        <v>75</v>
      </c>
      <c r="D5" s="3" t="s">
        <v>76</v>
      </c>
      <c r="E5" s="6" t="s">
        <v>361</v>
      </c>
      <c r="F5" s="3" t="s">
        <v>360</v>
      </c>
      <c r="G5" s="9" t="s">
        <v>391</v>
      </c>
    </row>
    <row r="6" spans="2:7" ht="15.75" x14ac:dyDescent="0.25">
      <c r="B6" s="40">
        <v>3</v>
      </c>
      <c r="C6" s="38" t="s">
        <v>77</v>
      </c>
      <c r="D6" s="3" t="s">
        <v>98</v>
      </c>
      <c r="E6" s="6"/>
      <c r="F6" s="3"/>
      <c r="G6" s="9"/>
    </row>
    <row r="7" spans="2:7" ht="15.75" x14ac:dyDescent="0.25">
      <c r="B7" s="18"/>
      <c r="C7" s="38"/>
      <c r="D7" s="3" t="s">
        <v>99</v>
      </c>
      <c r="E7" s="6"/>
      <c r="F7" s="3"/>
      <c r="G7" s="9"/>
    </row>
    <row r="8" spans="2:7" ht="15.75" x14ac:dyDescent="0.25">
      <c r="B8" s="18"/>
      <c r="C8" s="38"/>
      <c r="D8" s="3" t="s">
        <v>100</v>
      </c>
      <c r="E8" s="6"/>
      <c r="F8" s="3"/>
      <c r="G8" s="9"/>
    </row>
    <row r="9" spans="2:7" ht="15.75" x14ac:dyDescent="0.25">
      <c r="B9" s="18"/>
      <c r="C9" s="38"/>
      <c r="D9" s="3" t="s">
        <v>101</v>
      </c>
      <c r="E9" s="6"/>
      <c r="F9" s="3"/>
      <c r="G9" s="9"/>
    </row>
    <row r="10" spans="2:7" ht="15.75" x14ac:dyDescent="0.25">
      <c r="B10" s="18"/>
      <c r="C10" s="38"/>
      <c r="D10" s="3" t="s">
        <v>102</v>
      </c>
      <c r="E10" s="6"/>
      <c r="F10" s="3"/>
      <c r="G10" s="9"/>
    </row>
    <row r="11" spans="2:7" ht="15.75" x14ac:dyDescent="0.25">
      <c r="B11" s="18"/>
      <c r="C11" s="38"/>
      <c r="D11" s="3" t="s">
        <v>103</v>
      </c>
      <c r="E11" s="6"/>
      <c r="F11" s="3"/>
      <c r="G11" s="9"/>
    </row>
    <row r="12" spans="2:7" ht="15.75" x14ac:dyDescent="0.25">
      <c r="B12" s="18"/>
      <c r="C12" s="38"/>
      <c r="D12" s="3" t="s">
        <v>104</v>
      </c>
      <c r="E12" s="6"/>
      <c r="F12" s="3"/>
      <c r="G12" s="9"/>
    </row>
    <row r="13" spans="2:7" ht="15.75" x14ac:dyDescent="0.25">
      <c r="B13" s="18"/>
      <c r="C13" s="38"/>
      <c r="D13" s="3" t="s">
        <v>105</v>
      </c>
      <c r="E13" s="6"/>
      <c r="F13" s="3"/>
      <c r="G13" s="9"/>
    </row>
    <row r="14" spans="2:7" ht="15.75" x14ac:dyDescent="0.25">
      <c r="B14" s="18"/>
      <c r="C14" s="38" t="s">
        <v>233</v>
      </c>
      <c r="D14" s="3" t="s">
        <v>234</v>
      </c>
      <c r="E14" s="6" t="s">
        <v>362</v>
      </c>
      <c r="F14" s="3" t="s">
        <v>377</v>
      </c>
      <c r="G14" s="9" t="s">
        <v>392</v>
      </c>
    </row>
    <row r="15" spans="2:7" ht="15.75" x14ac:dyDescent="0.25">
      <c r="B15" s="40">
        <v>4</v>
      </c>
      <c r="C15" s="38" t="s">
        <v>78</v>
      </c>
      <c r="D15" s="3" t="s">
        <v>79</v>
      </c>
      <c r="E15" s="6" t="s">
        <v>363</v>
      </c>
      <c r="F15" s="3" t="s">
        <v>363</v>
      </c>
      <c r="G15" s="9" t="s">
        <v>393</v>
      </c>
    </row>
    <row r="16" spans="2:7" ht="15.75" x14ac:dyDescent="0.25">
      <c r="B16" s="40">
        <v>5</v>
      </c>
      <c r="C16" s="38" t="s">
        <v>80</v>
      </c>
      <c r="D16" s="3" t="s">
        <v>245</v>
      </c>
      <c r="E16" s="6" t="s">
        <v>364</v>
      </c>
      <c r="F16" s="3" t="s">
        <v>378</v>
      </c>
      <c r="G16" s="9" t="s">
        <v>364</v>
      </c>
    </row>
    <row r="17" spans="2:7" ht="15.75" x14ac:dyDescent="0.25">
      <c r="B17" s="40">
        <v>6</v>
      </c>
      <c r="C17" s="38" t="s">
        <v>81</v>
      </c>
      <c r="D17" s="3" t="s">
        <v>244</v>
      </c>
      <c r="E17" s="6" t="s">
        <v>365</v>
      </c>
      <c r="F17" s="3" t="s">
        <v>380</v>
      </c>
      <c r="G17" s="9" t="s">
        <v>394</v>
      </c>
    </row>
    <row r="18" spans="2:7" ht="15.75" x14ac:dyDescent="0.25">
      <c r="B18" s="40">
        <v>7</v>
      </c>
      <c r="C18" s="38" t="s">
        <v>82</v>
      </c>
      <c r="D18" s="3" t="s">
        <v>243</v>
      </c>
      <c r="E18" s="6" t="s">
        <v>366</v>
      </c>
      <c r="F18" s="3" t="s">
        <v>381</v>
      </c>
      <c r="G18" s="9" t="s">
        <v>395</v>
      </c>
    </row>
    <row r="19" spans="2:7" ht="15.75" x14ac:dyDescent="0.25">
      <c r="B19" s="40">
        <v>8</v>
      </c>
      <c r="C19" s="38" t="s">
        <v>23</v>
      </c>
      <c r="D19" s="3" t="s">
        <v>242</v>
      </c>
      <c r="E19" s="6" t="s">
        <v>367</v>
      </c>
      <c r="F19" s="3" t="s">
        <v>367</v>
      </c>
      <c r="G19" s="9" t="s">
        <v>396</v>
      </c>
    </row>
    <row r="20" spans="2:7" ht="15.75" x14ac:dyDescent="0.25">
      <c r="B20" s="40">
        <v>9</v>
      </c>
      <c r="C20" s="38" t="s">
        <v>83</v>
      </c>
      <c r="D20" s="3" t="s">
        <v>84</v>
      </c>
      <c r="E20" s="6" t="s">
        <v>369</v>
      </c>
      <c r="F20" s="3" t="s">
        <v>382</v>
      </c>
      <c r="G20" s="9" t="s">
        <v>382</v>
      </c>
    </row>
    <row r="21" spans="2:7" ht="15.75" x14ac:dyDescent="0.25">
      <c r="B21" s="40">
        <v>10</v>
      </c>
      <c r="C21" s="38" t="s">
        <v>85</v>
      </c>
      <c r="D21" s="3" t="s">
        <v>86</v>
      </c>
      <c r="E21" s="6" t="s">
        <v>368</v>
      </c>
      <c r="F21" s="3" t="s">
        <v>368</v>
      </c>
      <c r="G21" s="9" t="s">
        <v>368</v>
      </c>
    </row>
    <row r="22" spans="2:7" ht="15.75" x14ac:dyDescent="0.25">
      <c r="B22" s="40">
        <v>11</v>
      </c>
      <c r="C22" s="38" t="s">
        <v>87</v>
      </c>
      <c r="D22" s="3" t="s">
        <v>88</v>
      </c>
      <c r="E22" s="6" t="s">
        <v>370</v>
      </c>
      <c r="F22" s="3" t="s">
        <v>383</v>
      </c>
      <c r="G22" s="3" t="s">
        <v>383</v>
      </c>
    </row>
    <row r="23" spans="2:7" ht="15.75" x14ac:dyDescent="0.25">
      <c r="B23" s="40">
        <v>12</v>
      </c>
      <c r="C23" s="38" t="s">
        <v>89</v>
      </c>
      <c r="D23" s="3" t="s">
        <v>236</v>
      </c>
      <c r="E23" s="6" t="s">
        <v>397</v>
      </c>
      <c r="F23" s="3" t="s">
        <v>371</v>
      </c>
      <c r="G23" s="3" t="s">
        <v>371</v>
      </c>
    </row>
    <row r="24" spans="2:7" ht="15.75" x14ac:dyDescent="0.25">
      <c r="B24" s="40">
        <v>13</v>
      </c>
      <c r="C24" s="38" t="s">
        <v>90</v>
      </c>
      <c r="D24" s="3" t="s">
        <v>91</v>
      </c>
      <c r="E24" s="6" t="s">
        <v>384</v>
      </c>
      <c r="F24" s="3" t="s">
        <v>379</v>
      </c>
      <c r="G24" s="9" t="s">
        <v>398</v>
      </c>
    </row>
    <row r="25" spans="2:7" ht="15.75" x14ac:dyDescent="0.25">
      <c r="B25" s="40">
        <v>14</v>
      </c>
      <c r="C25" s="38" t="s">
        <v>230</v>
      </c>
      <c r="D25" s="3" t="s">
        <v>231</v>
      </c>
      <c r="E25" s="6" t="s">
        <v>372</v>
      </c>
      <c r="F25" s="3" t="s">
        <v>385</v>
      </c>
      <c r="G25" s="9" t="s">
        <v>372</v>
      </c>
    </row>
    <row r="26" spans="2:7" ht="15.75" x14ac:dyDescent="0.25">
      <c r="B26" s="40">
        <v>15</v>
      </c>
      <c r="C26" s="38" t="s">
        <v>92</v>
      </c>
      <c r="D26" s="3" t="s">
        <v>237</v>
      </c>
      <c r="E26" s="6" t="s">
        <v>373</v>
      </c>
      <c r="F26" s="3" t="s">
        <v>386</v>
      </c>
      <c r="G26" s="9" t="s">
        <v>399</v>
      </c>
    </row>
    <row r="27" spans="2:7" ht="15.75" x14ac:dyDescent="0.25">
      <c r="B27" s="40">
        <v>16</v>
      </c>
      <c r="C27" s="38" t="s">
        <v>93</v>
      </c>
      <c r="D27" s="3" t="s">
        <v>238</v>
      </c>
      <c r="E27" s="6"/>
      <c r="F27" s="3"/>
      <c r="G27" s="9"/>
    </row>
    <row r="28" spans="2:7" ht="15.75" x14ac:dyDescent="0.25">
      <c r="B28" s="40">
        <v>17</v>
      </c>
      <c r="C28" s="38" t="s">
        <v>95</v>
      </c>
      <c r="D28" s="3" t="s">
        <v>239</v>
      </c>
      <c r="E28" s="6"/>
      <c r="F28" s="3"/>
      <c r="G28" s="9"/>
    </row>
    <row r="29" spans="2:7" ht="15.75" x14ac:dyDescent="0.25">
      <c r="B29" s="40">
        <v>18</v>
      </c>
      <c r="C29" s="38" t="s">
        <v>96</v>
      </c>
      <c r="D29" s="3" t="s">
        <v>240</v>
      </c>
      <c r="E29" s="6" t="s">
        <v>374</v>
      </c>
      <c r="F29" s="3" t="s">
        <v>387</v>
      </c>
      <c r="G29" s="9" t="s">
        <v>387</v>
      </c>
    </row>
    <row r="30" spans="2:7" ht="15.75" x14ac:dyDescent="0.25">
      <c r="B30" s="40">
        <v>19</v>
      </c>
      <c r="C30" s="38" t="s">
        <v>97</v>
      </c>
      <c r="D30" s="3" t="s">
        <v>241</v>
      </c>
      <c r="E30" s="6" t="s">
        <v>375</v>
      </c>
      <c r="F30" s="136" t="s">
        <v>388</v>
      </c>
      <c r="G30" s="138" t="s">
        <v>400</v>
      </c>
    </row>
    <row r="31" spans="2:7" ht="15.75" x14ac:dyDescent="0.25">
      <c r="B31" s="40">
        <v>20</v>
      </c>
      <c r="C31" s="38" t="s">
        <v>171</v>
      </c>
      <c r="D31" s="3" t="s">
        <v>235</v>
      </c>
      <c r="E31" s="6" t="s">
        <v>376</v>
      </c>
      <c r="F31" s="3" t="s">
        <v>389</v>
      </c>
      <c r="G31" s="9" t="s">
        <v>401</v>
      </c>
    </row>
    <row r="32" spans="2:7" ht="16.5" thickBot="1" x14ac:dyDescent="0.3">
      <c r="B32" s="4"/>
      <c r="C32" s="7"/>
      <c r="D32" s="4"/>
      <c r="E32" s="7"/>
      <c r="F32" s="4"/>
      <c r="G32" s="10"/>
    </row>
    <row r="33" spans="2:6" ht="16.5" thickBot="1" x14ac:dyDescent="0.3">
      <c r="B33" s="120">
        <v>21</v>
      </c>
      <c r="C33" s="83" t="s">
        <v>288</v>
      </c>
      <c r="D33" s="65"/>
      <c r="E33" s="83"/>
      <c r="F33" s="65"/>
    </row>
    <row r="34" spans="2:6" ht="15.75" x14ac:dyDescent="0.25">
      <c r="B34" s="124"/>
      <c r="C34" s="34" t="s">
        <v>291</v>
      </c>
      <c r="D34" s="36" t="s">
        <v>290</v>
      </c>
      <c r="E34" s="46"/>
      <c r="F34" s="53"/>
    </row>
    <row r="35" spans="2:6" ht="15.75" x14ac:dyDescent="0.25">
      <c r="B35" s="16"/>
      <c r="C35" s="3" t="s">
        <v>293</v>
      </c>
      <c r="D35" s="9" t="s">
        <v>286</v>
      </c>
      <c r="E35" s="6"/>
      <c r="F35" s="3"/>
    </row>
    <row r="36" spans="2:6" ht="15.75" x14ac:dyDescent="0.25">
      <c r="B36" s="16"/>
      <c r="C36" s="3" t="s">
        <v>292</v>
      </c>
      <c r="D36" s="125" t="s">
        <v>297</v>
      </c>
      <c r="E36" s="6"/>
      <c r="F36" s="3"/>
    </row>
    <row r="37" spans="2:6" ht="15.75" x14ac:dyDescent="0.25">
      <c r="B37" s="16"/>
      <c r="C37" s="3" t="s">
        <v>294</v>
      </c>
      <c r="D37" s="9" t="s">
        <v>296</v>
      </c>
      <c r="E37" s="6"/>
      <c r="F37" s="3"/>
    </row>
    <row r="38" spans="2:6" ht="16.5" thickBot="1" x14ac:dyDescent="0.3">
      <c r="B38" s="30"/>
      <c r="C38" s="4" t="s">
        <v>295</v>
      </c>
      <c r="D38" s="10" t="s">
        <v>289</v>
      </c>
      <c r="E38" s="7"/>
      <c r="F38" s="4"/>
    </row>
  </sheetData>
  <mergeCells count="1">
    <mergeCell ref="B2:G2"/>
  </mergeCells>
  <phoneticPr fontId="15" type="noConversion"/>
  <hyperlinks>
    <hyperlink ref="D36" r:id="rId1" xr:uid="{E8B345BB-D0D7-4C27-8297-A66FA3370BC3}"/>
    <hyperlink ref="F30" r:id="rId2" xr:uid="{A0525863-C90C-49E1-B8E0-9564B107E7C2}"/>
    <hyperlink ref="G30" r:id="rId3" xr:uid="{7CE4E3C7-9854-44CD-A641-ED320FB0A0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1A02-0ADD-41D6-B3AE-CE639F399842}">
  <dimension ref="B1:H51"/>
  <sheetViews>
    <sheetView topLeftCell="A37" workbookViewId="0">
      <selection activeCell="G62" sqref="G62"/>
    </sheetView>
  </sheetViews>
  <sheetFormatPr defaultRowHeight="15" x14ac:dyDescent="0.25"/>
  <cols>
    <col min="2" max="2" width="6.7109375" customWidth="1"/>
    <col min="3" max="3" width="27.42578125" customWidth="1"/>
    <col min="4" max="4" width="73.28515625" customWidth="1"/>
    <col min="5" max="5" width="20.140625" customWidth="1"/>
    <col min="6" max="6" width="20.5703125" customWidth="1"/>
    <col min="7" max="7" width="20.42578125" customWidth="1"/>
    <col min="8" max="8" width="20" customWidth="1"/>
  </cols>
  <sheetData>
    <row r="1" spans="2:8" ht="15.75" thickBot="1" x14ac:dyDescent="0.3"/>
    <row r="2" spans="2:8" ht="27" thickBot="1" x14ac:dyDescent="0.45">
      <c r="B2" s="1"/>
      <c r="C2" s="146" t="s">
        <v>165</v>
      </c>
      <c r="D2" s="146"/>
      <c r="E2" s="146"/>
      <c r="F2" s="146"/>
      <c r="G2" s="146"/>
      <c r="H2" s="147"/>
    </row>
    <row r="3" spans="2:8" ht="16.5" thickBot="1" x14ac:dyDescent="0.3">
      <c r="B3" s="29" t="s">
        <v>142</v>
      </c>
      <c r="C3" s="26" t="s">
        <v>143</v>
      </c>
      <c r="D3" s="27" t="s">
        <v>164</v>
      </c>
      <c r="E3" s="26" t="s">
        <v>166</v>
      </c>
      <c r="F3" s="27" t="s">
        <v>167</v>
      </c>
      <c r="G3" s="26" t="s">
        <v>168</v>
      </c>
      <c r="H3" s="28" t="s">
        <v>169</v>
      </c>
    </row>
    <row r="4" spans="2:8" ht="15.75" x14ac:dyDescent="0.25">
      <c r="B4" s="41">
        <v>1</v>
      </c>
      <c r="C4" s="19" t="s">
        <v>106</v>
      </c>
      <c r="D4" s="5" t="s">
        <v>163</v>
      </c>
      <c r="E4" s="2" t="s">
        <v>402</v>
      </c>
      <c r="F4" s="5"/>
      <c r="G4" s="2"/>
      <c r="H4" s="8"/>
    </row>
    <row r="5" spans="2:8" ht="15.75" x14ac:dyDescent="0.25">
      <c r="B5" s="42">
        <v>2</v>
      </c>
      <c r="C5" s="20" t="s">
        <v>107</v>
      </c>
      <c r="D5" s="6" t="s">
        <v>108</v>
      </c>
      <c r="E5" s="3" t="s">
        <v>403</v>
      </c>
      <c r="F5" s="6"/>
      <c r="G5" s="3"/>
      <c r="H5" s="9"/>
    </row>
    <row r="6" spans="2:8" ht="15.75" x14ac:dyDescent="0.25">
      <c r="B6" s="42">
        <v>3</v>
      </c>
      <c r="C6" s="20" t="s">
        <v>109</v>
      </c>
      <c r="D6" s="6" t="s">
        <v>110</v>
      </c>
      <c r="E6" s="3" t="s">
        <v>377</v>
      </c>
      <c r="F6" s="6"/>
      <c r="G6" s="3"/>
      <c r="H6" s="9"/>
    </row>
    <row r="7" spans="2:8" ht="15.75" x14ac:dyDescent="0.25">
      <c r="B7" s="42">
        <v>4</v>
      </c>
      <c r="C7" s="20" t="s">
        <v>148</v>
      </c>
      <c r="D7" s="6" t="s">
        <v>180</v>
      </c>
      <c r="E7" s="3" t="s">
        <v>404</v>
      </c>
      <c r="F7" s="6"/>
      <c r="G7" s="3"/>
      <c r="H7" s="9"/>
    </row>
    <row r="8" spans="2:8" ht="15.75" x14ac:dyDescent="0.25">
      <c r="B8" s="42">
        <v>5</v>
      </c>
      <c r="C8" s="20" t="s">
        <v>111</v>
      </c>
      <c r="D8" s="6" t="s">
        <v>175</v>
      </c>
      <c r="E8" s="3" t="s">
        <v>406</v>
      </c>
      <c r="F8" s="6"/>
      <c r="G8" s="3"/>
      <c r="H8" s="9"/>
    </row>
    <row r="9" spans="2:8" ht="15.75" x14ac:dyDescent="0.25">
      <c r="B9" s="42">
        <v>6</v>
      </c>
      <c r="C9" s="20" t="s">
        <v>112</v>
      </c>
      <c r="D9" s="6" t="s">
        <v>176</v>
      </c>
      <c r="E9" s="3" t="s">
        <v>407</v>
      </c>
      <c r="F9" s="6"/>
      <c r="G9" s="3"/>
      <c r="H9" s="9"/>
    </row>
    <row r="10" spans="2:8" ht="409.6" x14ac:dyDescent="0.25">
      <c r="B10" s="42">
        <v>7</v>
      </c>
      <c r="C10" s="20" t="s">
        <v>113</v>
      </c>
      <c r="D10" s="6" t="s">
        <v>114</v>
      </c>
      <c r="E10" s="128" t="s">
        <v>408</v>
      </c>
      <c r="F10" s="6"/>
      <c r="G10" s="3"/>
      <c r="H10" s="9"/>
    </row>
    <row r="11" spans="2:8" ht="15.75" x14ac:dyDescent="0.25">
      <c r="B11" s="42">
        <v>8</v>
      </c>
      <c r="C11" s="20" t="s">
        <v>115</v>
      </c>
      <c r="D11" s="6" t="s">
        <v>116</v>
      </c>
      <c r="E11" s="3" t="s">
        <v>409</v>
      </c>
      <c r="F11" s="6"/>
      <c r="G11" s="3"/>
      <c r="H11" s="9"/>
    </row>
    <row r="12" spans="2:8" ht="15.75" x14ac:dyDescent="0.25">
      <c r="B12" s="42">
        <v>9</v>
      </c>
      <c r="C12" s="20" t="s">
        <v>117</v>
      </c>
      <c r="D12" s="6" t="s">
        <v>118</v>
      </c>
      <c r="E12" s="3" t="s">
        <v>410</v>
      </c>
      <c r="F12" s="6"/>
      <c r="G12" s="3"/>
      <c r="H12" s="9"/>
    </row>
    <row r="13" spans="2:8" ht="15.75" x14ac:dyDescent="0.25">
      <c r="B13" s="42">
        <v>10</v>
      </c>
      <c r="C13" s="20" t="s">
        <v>119</v>
      </c>
      <c r="D13" s="6" t="s">
        <v>120</v>
      </c>
      <c r="E13" s="3" t="s">
        <v>411</v>
      </c>
      <c r="F13" s="6"/>
      <c r="G13" s="3"/>
      <c r="H13" s="9"/>
    </row>
    <row r="14" spans="2:8" ht="15.75" x14ac:dyDescent="0.25">
      <c r="B14" s="42">
        <v>11</v>
      </c>
      <c r="C14" s="20" t="s">
        <v>121</v>
      </c>
      <c r="D14" s="6" t="s">
        <v>122</v>
      </c>
      <c r="E14" s="3" t="s">
        <v>412</v>
      </c>
      <c r="F14" s="6"/>
      <c r="G14" s="3"/>
      <c r="H14" s="9"/>
    </row>
    <row r="15" spans="2:8" ht="26.25" x14ac:dyDescent="0.25">
      <c r="B15" s="42"/>
      <c r="C15" s="20"/>
      <c r="D15" s="17" t="s">
        <v>170</v>
      </c>
      <c r="E15" s="3"/>
      <c r="F15" s="6"/>
      <c r="G15" s="3"/>
      <c r="H15" s="9"/>
    </row>
    <row r="16" spans="2:8" ht="15.75" x14ac:dyDescent="0.25">
      <c r="B16" s="42">
        <v>12</v>
      </c>
      <c r="C16" s="20" t="s">
        <v>123</v>
      </c>
      <c r="D16" s="6" t="s">
        <v>173</v>
      </c>
      <c r="E16" s="3" t="s">
        <v>413</v>
      </c>
      <c r="F16" s="6"/>
      <c r="G16" s="3"/>
      <c r="H16" s="9"/>
    </row>
    <row r="17" spans="2:8" ht="15.75" x14ac:dyDescent="0.25">
      <c r="B17" s="42">
        <v>13</v>
      </c>
      <c r="C17" s="20" t="s">
        <v>150</v>
      </c>
      <c r="D17" s="6" t="s">
        <v>151</v>
      </c>
      <c r="E17" s="3" t="s">
        <v>414</v>
      </c>
      <c r="F17" s="6"/>
      <c r="G17" s="3"/>
      <c r="H17" s="9"/>
    </row>
    <row r="18" spans="2:8" ht="15.75" x14ac:dyDescent="0.25">
      <c r="B18" s="42">
        <v>14</v>
      </c>
      <c r="C18" s="20" t="s">
        <v>152</v>
      </c>
      <c r="D18" s="6" t="s">
        <v>153</v>
      </c>
      <c r="E18" s="3" t="s">
        <v>415</v>
      </c>
      <c r="F18" s="6"/>
      <c r="G18" s="3"/>
      <c r="H18" s="9"/>
    </row>
    <row r="19" spans="2:8" ht="15.75" x14ac:dyDescent="0.25">
      <c r="B19" s="42">
        <v>15</v>
      </c>
      <c r="C19" s="20" t="s">
        <v>154</v>
      </c>
      <c r="D19" s="6" t="s">
        <v>156</v>
      </c>
      <c r="E19" s="3" t="s">
        <v>416</v>
      </c>
      <c r="F19" s="6"/>
      <c r="G19" s="3"/>
      <c r="H19" s="9"/>
    </row>
    <row r="20" spans="2:8" ht="15.75" x14ac:dyDescent="0.25">
      <c r="B20" s="42">
        <v>16</v>
      </c>
      <c r="C20" s="20" t="s">
        <v>155</v>
      </c>
      <c r="D20" s="6" t="s">
        <v>157</v>
      </c>
      <c r="E20" s="3" t="s">
        <v>417</v>
      </c>
      <c r="F20" s="6"/>
      <c r="G20" s="3"/>
      <c r="H20" s="9"/>
    </row>
    <row r="21" spans="2:8" ht="15.75" x14ac:dyDescent="0.25">
      <c r="B21" s="42">
        <v>17</v>
      </c>
      <c r="C21" s="20" t="s">
        <v>158</v>
      </c>
      <c r="D21" s="6" t="s">
        <v>159</v>
      </c>
      <c r="E21" s="3" t="s">
        <v>418</v>
      </c>
      <c r="F21" s="6"/>
      <c r="G21" s="3"/>
      <c r="H21" s="9"/>
    </row>
    <row r="22" spans="2:8" ht="15.75" x14ac:dyDescent="0.25">
      <c r="B22" s="42">
        <v>18</v>
      </c>
      <c r="C22" s="20" t="s">
        <v>126</v>
      </c>
      <c r="D22" s="6" t="s">
        <v>174</v>
      </c>
      <c r="E22" s="3" t="s">
        <v>405</v>
      </c>
      <c r="F22" s="6"/>
      <c r="G22" s="3"/>
      <c r="H22" s="9"/>
    </row>
    <row r="23" spans="2:8" ht="15.75" x14ac:dyDescent="0.25">
      <c r="B23" s="42"/>
      <c r="C23" s="20"/>
      <c r="D23" s="6" t="s">
        <v>138</v>
      </c>
      <c r="E23" s="3"/>
      <c r="F23" s="6"/>
      <c r="G23" s="3"/>
      <c r="H23" s="9"/>
    </row>
    <row r="24" spans="2:8" ht="15.75" x14ac:dyDescent="0.25">
      <c r="B24" s="42"/>
      <c r="C24" s="20"/>
      <c r="D24" s="6" t="s">
        <v>139</v>
      </c>
      <c r="E24" s="3"/>
      <c r="F24" s="6"/>
      <c r="G24" s="3"/>
      <c r="H24" s="9"/>
    </row>
    <row r="25" spans="2:8" ht="15.75" x14ac:dyDescent="0.25">
      <c r="B25" s="42"/>
      <c r="C25" s="20"/>
      <c r="D25" s="6" t="s">
        <v>140</v>
      </c>
      <c r="E25" s="3"/>
      <c r="F25" s="6"/>
      <c r="G25" s="3"/>
      <c r="H25" s="9"/>
    </row>
    <row r="26" spans="2:8" ht="15.75" x14ac:dyDescent="0.25">
      <c r="B26" s="42"/>
      <c r="C26" s="20"/>
      <c r="D26" s="6" t="s">
        <v>141</v>
      </c>
      <c r="E26" s="3"/>
      <c r="F26" s="6"/>
      <c r="G26" s="3"/>
      <c r="H26" s="9"/>
    </row>
    <row r="27" spans="2:8" ht="15.75" x14ac:dyDescent="0.25">
      <c r="B27" s="42">
        <v>19</v>
      </c>
      <c r="C27" s="20" t="s">
        <v>149</v>
      </c>
      <c r="D27" s="6" t="s">
        <v>160</v>
      </c>
      <c r="E27" s="3" t="s">
        <v>419</v>
      </c>
      <c r="F27" s="6"/>
      <c r="G27" s="3"/>
      <c r="H27" s="9"/>
    </row>
    <row r="28" spans="2:8" ht="15.75" x14ac:dyDescent="0.25">
      <c r="B28" s="42">
        <v>20</v>
      </c>
      <c r="C28" s="20" t="s">
        <v>124</v>
      </c>
      <c r="D28" s="6" t="s">
        <v>125</v>
      </c>
      <c r="E28" s="3" t="s">
        <v>420</v>
      </c>
      <c r="F28" s="6"/>
      <c r="G28" s="3"/>
      <c r="H28" s="9"/>
    </row>
    <row r="29" spans="2:8" ht="15.75" x14ac:dyDescent="0.25">
      <c r="B29" s="42"/>
      <c r="C29" s="20"/>
      <c r="D29" s="6" t="s">
        <v>134</v>
      </c>
      <c r="E29" s="3"/>
      <c r="F29" s="6"/>
      <c r="G29" s="3"/>
      <c r="H29" s="9"/>
    </row>
    <row r="30" spans="2:8" ht="15.75" x14ac:dyDescent="0.25">
      <c r="B30" s="42"/>
      <c r="C30" s="20"/>
      <c r="D30" s="6" t="s">
        <v>135</v>
      </c>
      <c r="E30" s="3"/>
      <c r="F30" s="6"/>
      <c r="G30" s="3"/>
      <c r="H30" s="9"/>
    </row>
    <row r="31" spans="2:8" ht="15.75" x14ac:dyDescent="0.25">
      <c r="B31" s="42"/>
      <c r="C31" s="20"/>
      <c r="D31" s="6" t="s">
        <v>136</v>
      </c>
      <c r="E31" s="3"/>
      <c r="F31" s="6"/>
      <c r="G31" s="3"/>
      <c r="H31" s="9"/>
    </row>
    <row r="32" spans="2:8" ht="15.75" x14ac:dyDescent="0.25">
      <c r="B32" s="42"/>
      <c r="C32" s="20"/>
      <c r="D32" s="6" t="s">
        <v>137</v>
      </c>
      <c r="E32" s="3"/>
      <c r="F32" s="6"/>
      <c r="G32" s="3"/>
      <c r="H32" s="9"/>
    </row>
    <row r="33" spans="2:8" ht="15.75" x14ac:dyDescent="0.25">
      <c r="B33" s="42">
        <v>21</v>
      </c>
      <c r="C33" s="20" t="s">
        <v>127</v>
      </c>
      <c r="D33" s="6" t="s">
        <v>128</v>
      </c>
      <c r="E33" s="3" t="s">
        <v>421</v>
      </c>
      <c r="F33" s="6"/>
      <c r="G33" s="3"/>
      <c r="H33" s="9"/>
    </row>
    <row r="34" spans="2:8" ht="15.75" x14ac:dyDescent="0.25">
      <c r="B34" s="42">
        <v>22</v>
      </c>
      <c r="C34" s="20" t="s">
        <v>129</v>
      </c>
      <c r="D34" s="6" t="s">
        <v>177</v>
      </c>
      <c r="E34" s="3" t="s">
        <v>422</v>
      </c>
      <c r="F34" s="6"/>
      <c r="G34" s="3"/>
      <c r="H34" s="9"/>
    </row>
    <row r="35" spans="2:8" ht="15.75" x14ac:dyDescent="0.25">
      <c r="B35" s="42">
        <v>23</v>
      </c>
      <c r="C35" s="20" t="s">
        <v>130</v>
      </c>
      <c r="D35" s="6" t="s">
        <v>131</v>
      </c>
      <c r="E35" s="3" t="s">
        <v>413</v>
      </c>
      <c r="F35" s="6"/>
      <c r="G35" s="3"/>
      <c r="H35" s="9"/>
    </row>
    <row r="36" spans="2:8" ht="15.75" x14ac:dyDescent="0.25">
      <c r="B36" s="42">
        <v>24</v>
      </c>
      <c r="C36" s="20" t="s">
        <v>144</v>
      </c>
      <c r="D36" s="6" t="s">
        <v>145</v>
      </c>
      <c r="E36" s="3" t="s">
        <v>355</v>
      </c>
      <c r="F36" s="6"/>
      <c r="G36" s="3"/>
      <c r="H36" s="9"/>
    </row>
    <row r="37" spans="2:8" ht="15.75" x14ac:dyDescent="0.25">
      <c r="B37" s="42"/>
      <c r="C37" s="20"/>
      <c r="D37" s="6" t="s">
        <v>146</v>
      </c>
      <c r="E37" s="3" t="s">
        <v>423</v>
      </c>
      <c r="F37" s="6"/>
      <c r="G37" s="3"/>
      <c r="H37" s="9"/>
    </row>
    <row r="38" spans="2:8" ht="15.75" x14ac:dyDescent="0.25">
      <c r="B38" s="42"/>
      <c r="C38" s="20"/>
      <c r="D38" s="6" t="s">
        <v>147</v>
      </c>
      <c r="E38" s="3"/>
      <c r="F38" s="6"/>
      <c r="G38" s="3"/>
      <c r="H38" s="9"/>
    </row>
    <row r="39" spans="2:8" ht="15.75" x14ac:dyDescent="0.25">
      <c r="B39" s="42">
        <v>25</v>
      </c>
      <c r="C39" s="20" t="s">
        <v>161</v>
      </c>
      <c r="D39" s="6" t="s">
        <v>162</v>
      </c>
      <c r="E39" s="3" t="s">
        <v>413</v>
      </c>
      <c r="F39" s="6"/>
      <c r="G39" s="3"/>
      <c r="H39" s="9"/>
    </row>
    <row r="40" spans="2:8" ht="15.75" x14ac:dyDescent="0.25">
      <c r="B40" s="42">
        <v>26</v>
      </c>
      <c r="C40" s="20" t="s">
        <v>93</v>
      </c>
      <c r="D40" s="6" t="s">
        <v>94</v>
      </c>
      <c r="E40" s="3" t="s">
        <v>413</v>
      </c>
      <c r="F40" s="6"/>
      <c r="G40" s="3"/>
      <c r="H40" s="9"/>
    </row>
    <row r="41" spans="2:8" ht="15.75" x14ac:dyDescent="0.25">
      <c r="B41" s="42">
        <v>27</v>
      </c>
      <c r="C41" s="20" t="s">
        <v>132</v>
      </c>
      <c r="D41" s="6" t="s">
        <v>178</v>
      </c>
      <c r="E41" s="3" t="s">
        <v>338</v>
      </c>
      <c r="F41" s="6"/>
      <c r="G41" s="3"/>
      <c r="H41" s="9"/>
    </row>
    <row r="42" spans="2:8" ht="15.75" x14ac:dyDescent="0.25">
      <c r="B42" s="42">
        <v>28</v>
      </c>
      <c r="C42" s="20" t="s">
        <v>133</v>
      </c>
      <c r="D42" s="6" t="s">
        <v>179</v>
      </c>
      <c r="E42" s="3" t="s">
        <v>338</v>
      </c>
      <c r="F42" s="6"/>
      <c r="G42" s="3"/>
      <c r="H42" s="9"/>
    </row>
    <row r="43" spans="2:8" ht="42.75" customHeight="1" x14ac:dyDescent="0.25">
      <c r="B43" s="43"/>
      <c r="C43" s="20"/>
      <c r="D43" s="17" t="s">
        <v>225</v>
      </c>
      <c r="E43" s="3"/>
      <c r="F43" s="6"/>
      <c r="G43" s="3"/>
      <c r="H43" s="9"/>
    </row>
    <row r="44" spans="2:8" ht="19.5" customHeight="1" thickBot="1" x14ac:dyDescent="0.3">
      <c r="B44" s="44">
        <v>29</v>
      </c>
      <c r="C44" s="21" t="s">
        <v>171</v>
      </c>
      <c r="D44" s="7" t="s">
        <v>172</v>
      </c>
      <c r="E44" t="s">
        <v>424</v>
      </c>
      <c r="F44" s="12"/>
      <c r="G44" s="11"/>
      <c r="H44" s="13"/>
    </row>
    <row r="45" spans="2:8" ht="16.5" thickBot="1" x14ac:dyDescent="0.3">
      <c r="B45" s="14"/>
      <c r="C45" s="15"/>
      <c r="D45" s="15"/>
      <c r="E45" s="4"/>
      <c r="F45" s="7"/>
      <c r="G45" s="4"/>
      <c r="H45" s="10"/>
    </row>
    <row r="46" spans="2:8" ht="16.5" thickBot="1" x14ac:dyDescent="0.3">
      <c r="B46" s="118">
        <v>30</v>
      </c>
      <c r="C46" s="83" t="s">
        <v>288</v>
      </c>
      <c r="D46" s="65"/>
      <c r="E46" s="83"/>
      <c r="F46" s="65"/>
    </row>
    <row r="47" spans="2:8" ht="15.75" x14ac:dyDescent="0.25">
      <c r="B47" s="124"/>
      <c r="C47" s="34" t="s">
        <v>291</v>
      </c>
      <c r="D47" s="36" t="s">
        <v>290</v>
      </c>
      <c r="E47" s="46"/>
      <c r="F47" s="53"/>
    </row>
    <row r="48" spans="2:8" ht="15.75" x14ac:dyDescent="0.25">
      <c r="B48" s="16"/>
      <c r="C48" s="3" t="s">
        <v>293</v>
      </c>
      <c r="D48" s="9" t="s">
        <v>286</v>
      </c>
      <c r="E48" s="6"/>
      <c r="F48" s="3"/>
    </row>
    <row r="49" spans="2:6" ht="15.75" x14ac:dyDescent="0.25">
      <c r="B49" s="16"/>
      <c r="C49" s="3" t="s">
        <v>292</v>
      </c>
      <c r="D49" s="125" t="s">
        <v>297</v>
      </c>
      <c r="E49" s="6"/>
      <c r="F49" s="3"/>
    </row>
    <row r="50" spans="2:6" ht="15.75" x14ac:dyDescent="0.25">
      <c r="B50" s="16"/>
      <c r="C50" s="3" t="s">
        <v>294</v>
      </c>
      <c r="D50" s="9" t="s">
        <v>296</v>
      </c>
      <c r="E50" s="6"/>
      <c r="F50" s="3"/>
    </row>
    <row r="51" spans="2:6" ht="16.5" thickBot="1" x14ac:dyDescent="0.3">
      <c r="B51" s="30"/>
      <c r="C51" s="4" t="s">
        <v>295</v>
      </c>
      <c r="D51" s="10" t="s">
        <v>289</v>
      </c>
      <c r="E51" s="7"/>
      <c r="F51" s="4"/>
    </row>
  </sheetData>
  <mergeCells count="1">
    <mergeCell ref="C2:H2"/>
  </mergeCells>
  <hyperlinks>
    <hyperlink ref="D49" r:id="rId1" xr:uid="{7816E8E2-26B6-4423-B1B4-1707D09FEF5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1616-FAC6-43AD-8C66-3154972ED755}">
  <dimension ref="B1:H30"/>
  <sheetViews>
    <sheetView tabSelected="1" workbookViewId="0">
      <selection activeCell="K14" sqref="K14"/>
    </sheetView>
  </sheetViews>
  <sheetFormatPr defaultRowHeight="15" x14ac:dyDescent="0.25"/>
  <cols>
    <col min="1" max="1" width="3" customWidth="1"/>
    <col min="2" max="2" width="6" customWidth="1"/>
    <col min="3" max="3" width="34.42578125" customWidth="1"/>
    <col min="4" max="4" width="76.7109375" customWidth="1"/>
    <col min="5" max="5" width="19.140625" customWidth="1"/>
    <col min="6" max="6" width="22.42578125" customWidth="1"/>
    <col min="7" max="7" width="21.42578125" customWidth="1"/>
    <col min="8" max="8" width="19.42578125" customWidth="1"/>
  </cols>
  <sheetData>
    <row r="1" spans="2:8" ht="15.75" thickBot="1" x14ac:dyDescent="0.3"/>
    <row r="2" spans="2:8" ht="27" thickBot="1" x14ac:dyDescent="0.45">
      <c r="B2" s="1"/>
      <c r="C2" s="140" t="s">
        <v>224</v>
      </c>
      <c r="D2" s="141"/>
      <c r="E2" s="141"/>
      <c r="F2" s="141"/>
      <c r="G2" s="141"/>
      <c r="H2" s="142"/>
    </row>
    <row r="3" spans="2:8" ht="16.5" thickBot="1" x14ac:dyDescent="0.3">
      <c r="B3" s="26" t="s">
        <v>142</v>
      </c>
      <c r="C3" s="27" t="s">
        <v>143</v>
      </c>
      <c r="D3" s="26" t="s">
        <v>164</v>
      </c>
      <c r="E3" s="27" t="s">
        <v>218</v>
      </c>
      <c r="F3" s="26" t="s">
        <v>219</v>
      </c>
      <c r="G3" s="26" t="s">
        <v>221</v>
      </c>
      <c r="H3" s="28" t="s">
        <v>220</v>
      </c>
    </row>
    <row r="4" spans="2:8" ht="15.75" x14ac:dyDescent="0.25">
      <c r="B4" s="45">
        <v>1</v>
      </c>
      <c r="C4" s="25" t="s">
        <v>181</v>
      </c>
      <c r="D4" s="2" t="s">
        <v>202</v>
      </c>
      <c r="E4" s="5" t="s">
        <v>425</v>
      </c>
      <c r="F4" s="2"/>
      <c r="G4" s="2"/>
      <c r="H4" s="8"/>
    </row>
    <row r="5" spans="2:8" ht="15.75" x14ac:dyDescent="0.25">
      <c r="B5" s="40">
        <v>2</v>
      </c>
      <c r="C5" s="22" t="s">
        <v>182</v>
      </c>
      <c r="D5" s="3" t="s">
        <v>204</v>
      </c>
      <c r="E5" s="6" t="s">
        <v>426</v>
      </c>
      <c r="F5" s="3"/>
      <c r="G5" s="3"/>
      <c r="H5" s="9"/>
    </row>
    <row r="6" spans="2:8" ht="15.75" x14ac:dyDescent="0.25">
      <c r="B6" s="40">
        <v>3</v>
      </c>
      <c r="C6" s="22" t="s">
        <v>183</v>
      </c>
      <c r="D6" s="3" t="s">
        <v>184</v>
      </c>
      <c r="E6" s="6">
        <v>9</v>
      </c>
      <c r="F6" s="3"/>
      <c r="G6" s="3"/>
      <c r="H6" s="9"/>
    </row>
    <row r="7" spans="2:8" ht="15.75" x14ac:dyDescent="0.25">
      <c r="B7" s="40">
        <v>4</v>
      </c>
      <c r="C7" s="22" t="s">
        <v>185</v>
      </c>
      <c r="D7" s="3" t="s">
        <v>205</v>
      </c>
      <c r="E7" s="6" t="s">
        <v>427</v>
      </c>
      <c r="F7" s="3"/>
      <c r="G7" s="3"/>
      <c r="H7" s="9"/>
    </row>
    <row r="8" spans="2:8" ht="15.75" x14ac:dyDescent="0.25">
      <c r="B8" s="40">
        <v>5</v>
      </c>
      <c r="C8" s="22" t="s">
        <v>186</v>
      </c>
      <c r="D8" s="3" t="s">
        <v>206</v>
      </c>
      <c r="E8" s="6" t="s">
        <v>428</v>
      </c>
      <c r="F8" s="3"/>
      <c r="G8" s="3"/>
      <c r="H8" s="9"/>
    </row>
    <row r="9" spans="2:8" ht="15.75" x14ac:dyDescent="0.25">
      <c r="B9" s="40">
        <v>6</v>
      </c>
      <c r="C9" s="22" t="s">
        <v>187</v>
      </c>
      <c r="D9" s="3" t="s">
        <v>207</v>
      </c>
      <c r="E9" s="6" t="s">
        <v>429</v>
      </c>
      <c r="F9" s="3"/>
      <c r="G9" s="3"/>
      <c r="H9" s="9"/>
    </row>
    <row r="10" spans="2:8" ht="15.75" x14ac:dyDescent="0.25">
      <c r="B10" s="40">
        <v>7</v>
      </c>
      <c r="C10" s="22" t="s">
        <v>188</v>
      </c>
      <c r="D10" s="3" t="s">
        <v>189</v>
      </c>
      <c r="E10" s="6" t="s">
        <v>430</v>
      </c>
      <c r="F10" s="3"/>
      <c r="G10" s="3"/>
      <c r="H10" s="9"/>
    </row>
    <row r="11" spans="2:8" ht="15.75" x14ac:dyDescent="0.25">
      <c r="B11" s="40">
        <v>8</v>
      </c>
      <c r="C11" s="22" t="s">
        <v>190</v>
      </c>
      <c r="D11" s="3" t="s">
        <v>208</v>
      </c>
      <c r="E11" s="6" t="s">
        <v>431</v>
      </c>
      <c r="F11" s="3"/>
      <c r="G11" s="3"/>
      <c r="H11" s="9"/>
    </row>
    <row r="12" spans="2:8" ht="15.75" x14ac:dyDescent="0.25">
      <c r="B12" s="40">
        <v>9</v>
      </c>
      <c r="C12" s="22" t="s">
        <v>191</v>
      </c>
      <c r="D12" s="3" t="s">
        <v>192</v>
      </c>
      <c r="E12" s="6" t="s">
        <v>432</v>
      </c>
      <c r="F12" s="3"/>
      <c r="G12" s="3"/>
      <c r="H12" s="9"/>
    </row>
    <row r="13" spans="2:8" ht="15.75" x14ac:dyDescent="0.25">
      <c r="B13" s="40">
        <v>10</v>
      </c>
      <c r="C13" s="22" t="s">
        <v>193</v>
      </c>
      <c r="D13" s="3" t="s">
        <v>209</v>
      </c>
      <c r="E13" s="6" t="s">
        <v>433</v>
      </c>
      <c r="F13" s="3"/>
      <c r="G13" s="3"/>
      <c r="H13" s="9"/>
    </row>
    <row r="14" spans="2:8" ht="15.75" x14ac:dyDescent="0.25">
      <c r="B14" s="40">
        <v>11</v>
      </c>
      <c r="C14" s="22" t="s">
        <v>194</v>
      </c>
      <c r="D14" s="3" t="s">
        <v>210</v>
      </c>
      <c r="E14" s="6" t="s">
        <v>434</v>
      </c>
      <c r="F14" s="3"/>
      <c r="G14" s="3"/>
      <c r="H14" s="9"/>
    </row>
    <row r="15" spans="2:8" ht="15.75" x14ac:dyDescent="0.25">
      <c r="B15" s="40">
        <v>12</v>
      </c>
      <c r="C15" s="22" t="s">
        <v>195</v>
      </c>
      <c r="D15" s="3" t="s">
        <v>211</v>
      </c>
      <c r="E15" s="6" t="s">
        <v>435</v>
      </c>
      <c r="F15" s="3"/>
      <c r="G15" s="3"/>
      <c r="H15" s="9"/>
    </row>
    <row r="16" spans="2:8" ht="15.75" x14ac:dyDescent="0.25">
      <c r="B16" s="40">
        <v>13</v>
      </c>
      <c r="C16" s="22" t="s">
        <v>196</v>
      </c>
      <c r="D16" s="3" t="s">
        <v>212</v>
      </c>
      <c r="E16" s="6" t="s">
        <v>436</v>
      </c>
      <c r="F16" s="3"/>
      <c r="G16" s="3"/>
      <c r="H16" s="9"/>
    </row>
    <row r="17" spans="2:8" ht="15.75" x14ac:dyDescent="0.25">
      <c r="B17" s="40">
        <v>14</v>
      </c>
      <c r="C17" s="22" t="s">
        <v>197</v>
      </c>
      <c r="D17" s="3" t="s">
        <v>213</v>
      </c>
      <c r="E17" s="6" t="s">
        <v>437</v>
      </c>
      <c r="F17" s="3"/>
      <c r="G17" s="3"/>
      <c r="H17" s="9"/>
    </row>
    <row r="18" spans="2:8" ht="15.75" x14ac:dyDescent="0.25">
      <c r="B18" s="40">
        <v>15</v>
      </c>
      <c r="C18" s="22" t="s">
        <v>198</v>
      </c>
      <c r="D18" s="3" t="s">
        <v>214</v>
      </c>
      <c r="E18" s="6" t="s">
        <v>438</v>
      </c>
      <c r="F18" s="3"/>
      <c r="G18" s="3"/>
      <c r="H18" s="9"/>
    </row>
    <row r="19" spans="2:8" ht="15.75" x14ac:dyDescent="0.25">
      <c r="B19" s="40">
        <v>16</v>
      </c>
      <c r="C19" s="22" t="s">
        <v>199</v>
      </c>
      <c r="D19" s="3" t="s">
        <v>215</v>
      </c>
      <c r="E19" s="6" t="s">
        <v>439</v>
      </c>
      <c r="F19" s="3"/>
      <c r="G19" s="3"/>
      <c r="H19" s="9"/>
    </row>
    <row r="20" spans="2:8" ht="15.75" x14ac:dyDescent="0.25">
      <c r="B20" s="40">
        <v>17</v>
      </c>
      <c r="C20" s="22" t="s">
        <v>200</v>
      </c>
      <c r="D20" s="3" t="s">
        <v>216</v>
      </c>
      <c r="E20" s="6" t="s">
        <v>440</v>
      </c>
      <c r="F20" s="3"/>
      <c r="G20" s="3"/>
      <c r="H20" s="9"/>
    </row>
    <row r="21" spans="2:8" ht="15.75" x14ac:dyDescent="0.25">
      <c r="B21" s="40">
        <v>18</v>
      </c>
      <c r="C21" s="22" t="s">
        <v>201</v>
      </c>
      <c r="D21" s="3" t="s">
        <v>217</v>
      </c>
      <c r="E21" s="139" t="s">
        <v>441</v>
      </c>
      <c r="F21" s="3"/>
      <c r="G21" s="3"/>
      <c r="H21" s="9"/>
    </row>
    <row r="22" spans="2:8" ht="15.75" x14ac:dyDescent="0.25">
      <c r="B22" s="40">
        <v>19</v>
      </c>
      <c r="C22" s="22" t="s">
        <v>222</v>
      </c>
      <c r="D22" s="3" t="s">
        <v>223</v>
      </c>
      <c r="E22" s="6" t="s">
        <v>442</v>
      </c>
      <c r="F22" s="3"/>
      <c r="G22" s="3"/>
      <c r="H22" s="9"/>
    </row>
    <row r="23" spans="2:8" ht="15.75" x14ac:dyDescent="0.25">
      <c r="B23" s="40">
        <v>20</v>
      </c>
      <c r="C23" s="22" t="s">
        <v>171</v>
      </c>
      <c r="D23" s="3" t="s">
        <v>203</v>
      </c>
      <c r="E23" s="6" t="s">
        <v>443</v>
      </c>
      <c r="F23" s="3"/>
      <c r="G23" s="3"/>
      <c r="H23" s="9"/>
    </row>
    <row r="24" spans="2:8" ht="16.5" thickBot="1" x14ac:dyDescent="0.3">
      <c r="B24" s="4"/>
      <c r="C24" s="7"/>
      <c r="D24" s="4"/>
      <c r="E24" s="7"/>
      <c r="F24" s="4"/>
      <c r="G24" s="4"/>
      <c r="H24" s="10"/>
    </row>
    <row r="25" spans="2:8" ht="16.5" thickBot="1" x14ac:dyDescent="0.3">
      <c r="B25" s="121">
        <v>21</v>
      </c>
      <c r="C25" s="122" t="s">
        <v>288</v>
      </c>
      <c r="D25" s="123"/>
      <c r="E25" s="83"/>
      <c r="F25" s="65"/>
    </row>
    <row r="26" spans="2:8" ht="15.75" x14ac:dyDescent="0.25">
      <c r="B26" s="124"/>
      <c r="C26" s="34" t="s">
        <v>291</v>
      </c>
      <c r="D26" s="36" t="s">
        <v>290</v>
      </c>
      <c r="E26" s="46"/>
      <c r="F26" s="53"/>
    </row>
    <row r="27" spans="2:8" ht="15.75" x14ac:dyDescent="0.25">
      <c r="B27" s="16"/>
      <c r="C27" s="3" t="s">
        <v>293</v>
      </c>
      <c r="D27" s="9" t="s">
        <v>286</v>
      </c>
      <c r="E27" s="6"/>
      <c r="F27" s="3"/>
    </row>
    <row r="28" spans="2:8" ht="15.75" x14ac:dyDescent="0.25">
      <c r="B28" s="16"/>
      <c r="C28" s="3" t="s">
        <v>292</v>
      </c>
      <c r="D28" s="125" t="s">
        <v>297</v>
      </c>
      <c r="E28" s="6"/>
      <c r="F28" s="3"/>
    </row>
    <row r="29" spans="2:8" ht="15.75" x14ac:dyDescent="0.25">
      <c r="B29" s="16"/>
      <c r="C29" s="3" t="s">
        <v>294</v>
      </c>
      <c r="D29" s="9" t="s">
        <v>296</v>
      </c>
      <c r="E29" s="6"/>
      <c r="F29" s="3"/>
    </row>
    <row r="30" spans="2:8" ht="16.5" thickBot="1" x14ac:dyDescent="0.3">
      <c r="B30" s="30"/>
      <c r="C30" s="4" t="s">
        <v>295</v>
      </c>
      <c r="D30" s="10" t="s">
        <v>289</v>
      </c>
      <c r="E30" s="7"/>
      <c r="F30" s="4"/>
    </row>
  </sheetData>
  <mergeCells count="1">
    <mergeCell ref="C2:H2"/>
  </mergeCells>
  <hyperlinks>
    <hyperlink ref="D28" r:id="rId1" xr:uid="{F87E7D92-90EE-4379-87BB-823DEBB42800}"/>
    <hyperlink ref="E21" r:id="rId2" xr:uid="{FF1602AB-A273-4A13-9CA3-4A0486144E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940D-39A3-4DC0-AAB4-91444E69C93B}">
  <dimension ref="B2:E12"/>
  <sheetViews>
    <sheetView workbookViewId="0">
      <selection activeCell="C20" sqref="C20"/>
    </sheetView>
  </sheetViews>
  <sheetFormatPr defaultRowHeight="15" x14ac:dyDescent="0.25"/>
  <cols>
    <col min="2" max="2" width="37.28515625" customWidth="1"/>
    <col min="3" max="3" width="34.85546875" customWidth="1"/>
    <col min="4" max="4" width="60.7109375" customWidth="1"/>
    <col min="5" max="5" width="61" customWidth="1"/>
  </cols>
  <sheetData>
    <row r="2" spans="2:5" ht="16.5" thickBot="1" x14ac:dyDescent="0.3">
      <c r="B2" s="126"/>
      <c r="C2" s="126"/>
      <c r="D2" s="126"/>
      <c r="E2" s="126"/>
    </row>
    <row r="3" spans="2:5" ht="26.25" thickBot="1" x14ac:dyDescent="0.4">
      <c r="B3" s="148" t="s">
        <v>323</v>
      </c>
      <c r="C3" s="149"/>
      <c r="D3" s="149"/>
      <c r="E3" s="150"/>
    </row>
    <row r="4" spans="2:5" ht="21" thickBot="1" x14ac:dyDescent="0.35">
      <c r="B4" s="133" t="s">
        <v>326</v>
      </c>
      <c r="C4" s="134" t="s">
        <v>298</v>
      </c>
      <c r="D4" s="133" t="s">
        <v>322</v>
      </c>
      <c r="E4" s="135" t="s">
        <v>299</v>
      </c>
    </row>
    <row r="5" spans="2:5" ht="30.75" x14ac:dyDescent="0.25">
      <c r="B5" s="2" t="s">
        <v>300</v>
      </c>
      <c r="C5" s="130" t="s">
        <v>301</v>
      </c>
      <c r="D5" s="131" t="s">
        <v>302</v>
      </c>
      <c r="E5" s="132" t="s">
        <v>319</v>
      </c>
    </row>
    <row r="6" spans="2:5" ht="30.75" x14ac:dyDescent="0.25">
      <c r="B6" s="128" t="s">
        <v>325</v>
      </c>
      <c r="C6" s="92" t="s">
        <v>320</v>
      </c>
      <c r="D6" s="128" t="s">
        <v>303</v>
      </c>
      <c r="E6" s="129" t="s">
        <v>304</v>
      </c>
    </row>
    <row r="7" spans="2:5" ht="30.75" x14ac:dyDescent="0.25">
      <c r="B7" s="3" t="s">
        <v>305</v>
      </c>
      <c r="C7" s="6" t="s">
        <v>306</v>
      </c>
      <c r="D7" s="128" t="s">
        <v>307</v>
      </c>
      <c r="E7" s="129" t="s">
        <v>308</v>
      </c>
    </row>
    <row r="8" spans="2:5" ht="30.75" x14ac:dyDescent="0.25">
      <c r="B8" s="128" t="s">
        <v>309</v>
      </c>
      <c r="C8" s="6" t="s">
        <v>310</v>
      </c>
      <c r="D8" s="128" t="s">
        <v>311</v>
      </c>
      <c r="E8" s="129" t="s">
        <v>321</v>
      </c>
    </row>
    <row r="9" spans="2:5" ht="30.75" x14ac:dyDescent="0.25">
      <c r="B9" s="128" t="s">
        <v>324</v>
      </c>
      <c r="C9" s="6" t="s">
        <v>312</v>
      </c>
      <c r="D9" s="128" t="s">
        <v>313</v>
      </c>
      <c r="E9" s="129" t="s">
        <v>314</v>
      </c>
    </row>
    <row r="10" spans="2:5" ht="30.75" x14ac:dyDescent="0.25">
      <c r="B10" s="3" t="s">
        <v>315</v>
      </c>
      <c r="C10" s="92" t="s">
        <v>316</v>
      </c>
      <c r="D10" s="128" t="s">
        <v>317</v>
      </c>
      <c r="E10" s="129" t="s">
        <v>318</v>
      </c>
    </row>
    <row r="11" spans="2:5" ht="16.5" thickBot="1" x14ac:dyDescent="0.3">
      <c r="B11" s="4"/>
      <c r="C11" s="7"/>
      <c r="D11" s="4"/>
      <c r="E11" s="10"/>
    </row>
    <row r="12" spans="2:5" ht="15.75" x14ac:dyDescent="0.25">
      <c r="B12" s="127"/>
      <c r="C12" s="127"/>
      <c r="D12" s="127"/>
      <c r="E12" s="127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</vt:lpstr>
      <vt:lpstr>PROJECT(S)</vt:lpstr>
      <vt:lpstr>PRODUCT(S)</vt:lpstr>
      <vt:lpstr>STAFF AUGMENTATION</vt:lpstr>
      <vt:lpstr>UK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Mahrouz Choudhary</dc:creator>
  <cp:lastModifiedBy>(FA21-BCS-024) MARIUM ILYAS</cp:lastModifiedBy>
  <dcterms:created xsi:type="dcterms:W3CDTF">2026-07-12T12:59:49Z</dcterms:created>
  <dcterms:modified xsi:type="dcterms:W3CDTF">2026-07-16T11:41:58Z</dcterms:modified>
</cp:coreProperties>
</file>